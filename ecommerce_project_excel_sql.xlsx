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yerrm\OneDrive\Documents\Desktop\"/>
    </mc:Choice>
  </mc:AlternateContent>
  <xr:revisionPtr revIDLastSave="0" documentId="13_ncr:1_{A01C3530-C3D1-48F5-AABD-1BF648C65D92}" xr6:coauthVersionLast="47" xr6:coauthVersionMax="47" xr10:uidLastSave="{00000000-0000-0000-0000-000000000000}"/>
  <bookViews>
    <workbookView xWindow="-108" yWindow="-108" windowWidth="23256" windowHeight="12456" firstSheet="3" activeTab="5" xr2:uid="{7D04A31C-ED4B-47EA-9C0F-DC1EDC9D0431}"/>
  </bookViews>
  <sheets>
    <sheet name="products" sheetId="1" state="hidden" r:id="rId1"/>
    <sheet name="order_items" sheetId="2" state="hidden" r:id="rId2"/>
    <sheet name="orders " sheetId="9" state="hidden" r:id="rId3"/>
    <sheet name="total_dataset" sheetId="15" r:id="rId4"/>
    <sheet name="Sheet3" sheetId="25" state="hidden" r:id="rId5"/>
    <sheet name="DASHBOARD" sheetId="19" r:id="rId6"/>
    <sheet name="PIVOT_TABLE" sheetId="20" r:id="rId7"/>
    <sheet name="total _dataset" sheetId="18" state="hidden" r:id="rId8"/>
    <sheet name="customer" sheetId="17" state="hidden" r:id="rId9"/>
  </sheets>
  <definedNames>
    <definedName name="ExternalData_2" localSheetId="7" hidden="1">'total _dataset'!$A$1:$X$301</definedName>
    <definedName name="NativeTimeline_orders.order_date">#N/A</definedName>
    <definedName name="Slicer_customers.city">#N/A</definedName>
    <definedName name="Slicer_orders.order_status">#N/A</definedName>
    <definedName name="Slicer_products.category">#N/A</definedName>
  </definedNames>
  <calcPr calcId="191029"/>
  <pivotCaches>
    <pivotCache cacheId="7"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eb77cd4a-7cfb-4d35-ad1a-1819f441c7c6" name="orders" connection="Query - 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9" i="20" l="1"/>
  <c r="D93" i="20"/>
  <c r="F80" i="20"/>
  <c r="C64" i="20"/>
  <c r="C60"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4E195-095B-4E60-A859-1058BD54BB87}" keepAlive="1" name="Query - customer (2)" description="Connection to the 'customer (2)' query in the workbook." type="5" refreshedVersion="8" background="1" saveData="1">
    <dbPr connection="Provider=Microsoft.Mashup.OleDb.1;Data Source=$Workbook$;Location=&quot;customer (2)&quot;;Extended Properties=&quot;&quot;" command="SELECT * FROM [customer (2)]"/>
  </connection>
  <connection id="2" xr16:uid="{91D553E4-5BF9-429E-B280-4B974866E9D7}" name="Query - orders" description="Connection to the 'orders' query in the workbook." type="100" refreshedVersion="8" minRefreshableVersion="5">
    <extLst>
      <ext xmlns:x15="http://schemas.microsoft.com/office/spreadsheetml/2010/11/main" uri="{DE250136-89BD-433C-8126-D09CA5730AF9}">
        <x15:connection id="fb73155f-ba5c-4a84-953e-b0d89679ed4c"/>
      </ext>
    </extLst>
  </connection>
  <connection id="3" xr16:uid="{ADFD8F2E-DDE2-46A2-8E23-3E2104319E23}" keepAlive="1" name="Query - orders_items" description="Connection to the 'orders_items' query in the workbook." type="5" refreshedVersion="8" background="1" saveData="1">
    <dbPr connection="Provider=Microsoft.Mashup.OleDb.1;Data Source=$Workbook$;Location=orders_items;Extended Properties=&quot;&quot;" command="SELECT * FROM [orders_items]"/>
  </connection>
  <connection id="4" xr16:uid="{E43EDAE9-80B1-4395-BA32-E220A4749329}"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5" xr16:uid="{8E29DF9A-1CC1-4AB9-A0D7-5E89C15A68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<sst xmlns="http://schemas.openxmlformats.org/spreadsheetml/2006/main" count="5382" uniqueCount="179">
  <si>
    <t>product_id</t>
  </si>
  <si>
    <t>product_name</t>
  </si>
  <si>
    <t>category</t>
  </si>
  <si>
    <t>list_price</t>
  </si>
  <si>
    <t>unit_cost</t>
  </si>
  <si>
    <t>Wireless Mouse</t>
  </si>
  <si>
    <t>Electronics</t>
  </si>
  <si>
    <t>Mechanical Keyboard</t>
  </si>
  <si>
    <t>USB-C Hub</t>
  </si>
  <si>
    <t>Bluetooth Speaker</t>
  </si>
  <si>
    <t>Laptop Stand</t>
  </si>
  <si>
    <t>Accessories</t>
  </si>
  <si>
    <t>Backpack</t>
  </si>
  <si>
    <t>Desk Lamp</t>
  </si>
  <si>
    <t>Home &amp; Office</t>
  </si>
  <si>
    <t>Notebook Set</t>
  </si>
  <si>
    <t>Stationery</t>
  </si>
  <si>
    <t>Gel Pen Pack</t>
  </si>
  <si>
    <t>Water Bottle</t>
  </si>
  <si>
    <t>Lifestyle</t>
  </si>
  <si>
    <t>Yoga Mat</t>
  </si>
  <si>
    <t>Coffee Mug</t>
  </si>
  <si>
    <t>Monitor 24-inch</t>
  </si>
  <si>
    <t>Webcam HD</t>
  </si>
  <si>
    <t>Phone Stand</t>
  </si>
  <si>
    <t>Power Bank</t>
  </si>
  <si>
    <t>Office Chair</t>
  </si>
  <si>
    <t>Running Shoes</t>
  </si>
  <si>
    <t>Travel Pouch</t>
  </si>
  <si>
    <t>Planner</t>
  </si>
  <si>
    <t>order_item_id</t>
  </si>
  <si>
    <t>order_id</t>
  </si>
  <si>
    <t>quantity</t>
  </si>
  <si>
    <t>unit_price</t>
  </si>
  <si>
    <t>discount_pct</t>
  </si>
  <si>
    <t>line_total</t>
  </si>
  <si>
    <t>customer_id</t>
  </si>
  <si>
    <t>order_date</t>
  </si>
  <si>
    <t>order_status</t>
  </si>
  <si>
    <t>payment_method</t>
  </si>
  <si>
    <t>shipping_days</t>
  </si>
  <si>
    <t>Delivered</t>
  </si>
  <si>
    <t>Credit Card</t>
  </si>
  <si>
    <t>Debit Card</t>
  </si>
  <si>
    <t>Returned</t>
  </si>
  <si>
    <t>Cash on Delivery</t>
  </si>
  <si>
    <t>UPI</t>
  </si>
  <si>
    <t>Pending</t>
  </si>
  <si>
    <t>Cancelled</t>
  </si>
  <si>
    <t>Net Banking</t>
  </si>
  <si>
    <t>first_name</t>
  </si>
  <si>
    <t>last_name</t>
  </si>
  <si>
    <t>city</t>
  </si>
  <si>
    <t>customer_segment</t>
  </si>
  <si>
    <t>signup_date</t>
  </si>
  <si>
    <t>Aarav</t>
  </si>
  <si>
    <t>Kumar</t>
  </si>
  <si>
    <t>Delhi</t>
  </si>
  <si>
    <t>Small Business</t>
  </si>
  <si>
    <t>Diya</t>
  </si>
  <si>
    <t>Gupta</t>
  </si>
  <si>
    <t>Pune</t>
  </si>
  <si>
    <t>Corporate</t>
  </si>
  <si>
    <t>Rohan</t>
  </si>
  <si>
    <t>Iyer</t>
  </si>
  <si>
    <t>Bengaluru</t>
  </si>
  <si>
    <t>Consumer</t>
  </si>
  <si>
    <t>Ananya</t>
  </si>
  <si>
    <t>Joshi</t>
  </si>
  <si>
    <t>Kochi</t>
  </si>
  <si>
    <t>Vihaan</t>
  </si>
  <si>
    <t>Pillai</t>
  </si>
  <si>
    <t>Vijayawada</t>
  </si>
  <si>
    <t>Isha</t>
  </si>
  <si>
    <t>Kapoor</t>
  </si>
  <si>
    <t>Chennai</t>
  </si>
  <si>
    <t>Arjun</t>
  </si>
  <si>
    <t>Reddy</t>
  </si>
  <si>
    <t>Jaipur</t>
  </si>
  <si>
    <t>Meera</t>
  </si>
  <si>
    <t>Rao</t>
  </si>
  <si>
    <t>Visakhapatnam</t>
  </si>
  <si>
    <t>Kabir</t>
  </si>
  <si>
    <t>Naidu</t>
  </si>
  <si>
    <t>Mumbai</t>
  </si>
  <si>
    <t>Saanvi</t>
  </si>
  <si>
    <t>Das</t>
  </si>
  <si>
    <t>Hyderabad</t>
  </si>
  <si>
    <t>Aditya</t>
  </si>
  <si>
    <t>Nair</t>
  </si>
  <si>
    <t>Priya</t>
  </si>
  <si>
    <t>Chowdhury</t>
  </si>
  <si>
    <t>Ishaan</t>
  </si>
  <si>
    <t>Jain</t>
  </si>
  <si>
    <t>Kavya</t>
  </si>
  <si>
    <t>Patel</t>
  </si>
  <si>
    <t>Reyansh</t>
  </si>
  <si>
    <t>Singh</t>
  </si>
  <si>
    <t>Aditi</t>
  </si>
  <si>
    <t>Verma</t>
  </si>
  <si>
    <t>Rahul</t>
  </si>
  <si>
    <t>Mehta</t>
  </si>
  <si>
    <t>Neha</t>
  </si>
  <si>
    <t>Mishra</t>
  </si>
  <si>
    <t>Kiran</t>
  </si>
  <si>
    <t>Shetty</t>
  </si>
  <si>
    <t>Pooja</t>
  </si>
  <si>
    <t>Sharma</t>
  </si>
  <si>
    <t>Vikram</t>
  </si>
  <si>
    <t>Sneha</t>
  </si>
  <si>
    <t>Sai</t>
  </si>
  <si>
    <t>Nisha</t>
  </si>
  <si>
    <t>Manav</t>
  </si>
  <si>
    <t>Tara</t>
  </si>
  <si>
    <t>Dev</t>
  </si>
  <si>
    <t>Mira</t>
  </si>
  <si>
    <t>Ayaan</t>
  </si>
  <si>
    <t>Riya</t>
  </si>
  <si>
    <t>Nikhil</t>
  </si>
  <si>
    <t>Anika</t>
  </si>
  <si>
    <t>Varun</t>
  </si>
  <si>
    <t>Lavanya</t>
  </si>
  <si>
    <t>Krishna</t>
  </si>
  <si>
    <t>Siddhi</t>
  </si>
  <si>
    <t>Harsh</t>
  </si>
  <si>
    <t>Tanvi</t>
  </si>
  <si>
    <t>Yash</t>
  </si>
  <si>
    <t>Asha</t>
  </si>
  <si>
    <t>products.product_id</t>
  </si>
  <si>
    <t>products.product_name</t>
  </si>
  <si>
    <t>products.category</t>
  </si>
  <si>
    <t>products.list_price</t>
  </si>
  <si>
    <t>products.unit_cost</t>
  </si>
  <si>
    <t>orders.order_id</t>
  </si>
  <si>
    <t>orders.customer_id</t>
  </si>
  <si>
    <t>orders.order_date</t>
  </si>
  <si>
    <t>orders.order_status</t>
  </si>
  <si>
    <t>orders.payment_method</t>
  </si>
  <si>
    <t>orders.shipping_days</t>
  </si>
  <si>
    <t>customers.customer_id</t>
  </si>
  <si>
    <t>customers.first_name</t>
  </si>
  <si>
    <t>customers.last_name</t>
  </si>
  <si>
    <t>customers.city</t>
  </si>
  <si>
    <t>customers.customer_segment</t>
  </si>
  <si>
    <t>customers.signup_date</t>
  </si>
  <si>
    <t>customer.customer_id</t>
  </si>
  <si>
    <t>customer.first_name</t>
  </si>
  <si>
    <t>customer.last_name</t>
  </si>
  <si>
    <t>customer.city</t>
  </si>
  <si>
    <t>customer.customer_segment</t>
  </si>
  <si>
    <t>customer.signup_date</t>
  </si>
  <si>
    <t>orders_items.order_item_id</t>
  </si>
  <si>
    <t>orders_items.order_id</t>
  </si>
  <si>
    <t>orders_items.product_id</t>
  </si>
  <si>
    <t>orders_items.quantity</t>
  </si>
  <si>
    <t>orders_items.unit_price</t>
  </si>
  <si>
    <t>orders_items.discount_pct</t>
  </si>
  <si>
    <t>orders_items.line_total</t>
  </si>
  <si>
    <t>Sum of line_total</t>
  </si>
  <si>
    <t>Row Labels</t>
  </si>
  <si>
    <t>Grand Total</t>
  </si>
  <si>
    <t>Jan</t>
  </si>
  <si>
    <t>Feb</t>
  </si>
  <si>
    <t>Mar</t>
  </si>
  <si>
    <t>Jun</t>
  </si>
  <si>
    <t>Jul</t>
  </si>
  <si>
    <t>Sep</t>
  </si>
  <si>
    <t>Oct</t>
  </si>
  <si>
    <t>Count of order_id</t>
  </si>
  <si>
    <t>Apr</t>
  </si>
  <si>
    <t>Nov</t>
  </si>
  <si>
    <t>Aug</t>
  </si>
  <si>
    <t>Dec</t>
  </si>
  <si>
    <t>May</t>
  </si>
  <si>
    <t>PROFIT</t>
  </si>
  <si>
    <t>Count of customers.customer_id</t>
  </si>
  <si>
    <t>Count of orders.order_id</t>
  </si>
  <si>
    <t>cancellation rate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</si>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</sst>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9" formatCode="&quot;₹&quot;\ #,##0"/>
  </numFmts>
  <fonts count="5" x14ac:knownFonts="1">
    <font>
      <sz val="11"/>
      <color theme="1"/>
      <name val="Calibri"/>
      <family val="2"/>
      <scheme val="minor"/>
    </font>
    <font>
      <b/>
      <sz val="11"/>
      <color theme="0"/>
      <name val="Calibri"/>
      <family val="2"/>
      <scheme val="minor"/>
    </font>
    <font>
      <b/>
      <sz val="16"/>
      <color rgb="FFFF0000"/>
      <name val="Times New Roman"/>
      <family val="1"/>
    </font>
    <font>
      <sz val="11"/>
      <color theme="1"/>
      <name val="Times New Roman"/>
      <family val="1"/>
    </font>
    <font>
      <sz val="11"/>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00"/>
        <bgColor theme="4"/>
      </patternFill>
    </fill>
  </fills>
  <borders count="8">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s>
  <cellStyleXfs count="2">
    <xf numFmtId="0" fontId="0" fillId="0" borderId="0"/>
    <xf numFmtId="43" fontId="4" fillId="0" borderId="0" applyFont="0" applyFill="0" applyBorder="0" applyAlignment="0" applyProtection="0"/>
  </cellStyleXfs>
  <cellXfs count="28">
    <xf numFmtId="0" fontId="0" fillId="0" borderId="0" xfId="0"/>
    <xf numFmtId="14" fontId="0" fillId="0" borderId="0" xfId="0" applyNumberFormat="1"/>
    <xf numFmtId="22" fontId="0" fillId="0" borderId="0" xfId="0" applyNumberFormat="1"/>
    <xf numFmtId="0" fontId="0" fillId="3" borderId="1" xfId="0" applyFill="1" applyBorder="1"/>
    <xf numFmtId="22" fontId="0" fillId="3" borderId="1" xfId="0" applyNumberFormat="1" applyFill="1" applyBorder="1"/>
    <xf numFmtId="0" fontId="0" fillId="0" borderId="1" xfId="0" applyBorder="1"/>
    <xf numFmtId="22" fontId="0" fillId="0" borderId="1" xfId="0" applyNumberFormat="1" applyBorder="1"/>
    <xf numFmtId="0" fontId="1" fillId="2" borderId="0" xfId="0" applyFont="1" applyFill="1"/>
    <xf numFmtId="0" fontId="3" fillId="3" borderId="2" xfId="0" applyFont="1" applyFill="1" applyBorder="1" applyAlignment="1">
      <alignment horizontal="center" vertical="center"/>
    </xf>
    <xf numFmtId="22" fontId="3" fillId="3" borderId="2" xfId="0"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0" fontId="3" fillId="0" borderId="2" xfId="0" applyFont="1" applyBorder="1" applyAlignment="1">
      <alignment horizontal="center" vertical="center"/>
    </xf>
    <xf numFmtId="22" fontId="3" fillId="0" borderId="2"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3" borderId="3" xfId="0" applyFont="1" applyFill="1" applyBorder="1" applyAlignment="1">
      <alignment horizontal="center" vertical="center"/>
    </xf>
    <xf numFmtId="22" fontId="3" fillId="3" borderId="3" xfId="0" applyNumberFormat="1" applyFont="1" applyFill="1" applyBorder="1" applyAlignment="1">
      <alignment horizontal="center" vertical="center"/>
    </xf>
    <xf numFmtId="14" fontId="3" fillId="3" borderId="3"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69" fontId="0" fillId="0" borderId="0" xfId="1" applyNumberFormat="1" applyFont="1"/>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3" fillId="0" borderId="7" xfId="0" applyFont="1" applyBorder="1" applyAlignment="1">
      <alignment horizontal="center" vertical="center"/>
    </xf>
    <xf numFmtId="22" fontId="3" fillId="0" borderId="7" xfId="0" applyNumberFormat="1" applyFont="1" applyBorder="1" applyAlignment="1">
      <alignment horizontal="center" vertical="center"/>
    </xf>
    <xf numFmtId="14" fontId="3" fillId="0" borderId="7" xfId="0" applyNumberFormat="1" applyFont="1" applyBorder="1" applyAlignment="1">
      <alignment horizontal="center" vertical="center"/>
    </xf>
    <xf numFmtId="10" fontId="0" fillId="0" borderId="0" xfId="0" applyNumberFormat="1"/>
  </cellXfs>
  <cellStyles count="2">
    <cellStyle name="Comma" xfId="1" builtinId="3"/>
    <cellStyle name="Normal" xfId="0" builtinId="0"/>
  </cellStyles>
  <dxfs count="52">
    <dxf>
      <font>
        <b/>
        <i val="0"/>
        <strike val="0"/>
        <condense val="0"/>
        <extend val="0"/>
        <outline val="0"/>
        <shadow val="0"/>
        <u val="none"/>
        <vertAlign val="baseline"/>
        <sz val="16"/>
        <color rgb="FFFF0000"/>
        <name val="Times New Roman"/>
        <family val="1"/>
        <scheme val="none"/>
      </font>
      <fill>
        <patternFill patternType="solid">
          <fgColor theme="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numFmt numFmtId="27" formatCode="dd/mm/yyyy\ hh: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medium">
          <color indexed="64"/>
        </bottom>
      </border>
    </dxf>
    <dxf>
      <border outline="0">
        <top style="medium">
          <color indexed="64"/>
        </top>
        <bottom style="thin">
          <color indexed="64"/>
        </bottom>
      </border>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7" formatCode="dd/mm/yyyy\ hh:mm"/>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[ecommerce_project_excel_sql.xlsx]PIVOT_TABLE!PivotTable1</c:name>
    <c:fmtId val="9"/>
  </c:pivotSource>
  <c:chart>
    <c:autoTitleDeleted val="1"/>
    <c:pivotFmts>
      <c:pivotFmt>
        <c:idx val="0"/>
        <c:spPr>
          <a:solidFill>
            <a:schemeClr val="accent1"/>
          </a:solidFill>
          <a:ln w="28575" cap="rnd">
            <a:solidFill>
              <a:schemeClr val="accent1"/>
            </a:solidFill>
            <a:round/>
          </a:ln>
          <a:effectLst>
            <a:outerShdw blurRad="50800" dist="50800" dir="5400000" algn="ctr" rotWithShape="0">
              <a:schemeClr val="bg1"/>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solidFill>
              <a:schemeClr val="accent1"/>
            </a:solidFill>
            <a:round/>
          </a:ln>
          <a:effectLst>
            <a:outerShdw blurRad="50800" dist="50800" dir="5400000" algn="ctr" rotWithShape="0">
              <a:schemeClr val="bg1"/>
            </a:outerShdw>
          </a:effectLst>
        </c:spPr>
        <c:marker>
          <c:symbol val="none"/>
        </c:marker>
      </c:pivotFmt>
      <c:pivotFmt>
        <c:idx val="2"/>
        <c:spPr>
          <a:solidFill>
            <a:schemeClr val="accent1"/>
          </a:solidFill>
          <a:ln w="28575" cap="rnd">
            <a:solidFill>
              <a:schemeClr val="accent1"/>
            </a:solidFill>
            <a:round/>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0"/>
          <c:showCatName val="0"/>
          <c:showSerName val="0"/>
          <c:showPercent val="0"/>
          <c:showBubbleSize val="0"/>
          <c:extLst>
            <c:ext xmlns:c15="http://schemas.microsoft.com/office/drawing/2012/chart" uri="{CE6537A1-D6FC-4f65-9D91-7224C49458BB}"/>
          </c:extLst>
        </c:dLbl>
      </c:pivotFmt>
      <c:pivotFmt>
        <c:idx val="4"/>
        <c:spPr>
          <a:ln w="28575" cap="sq">
            <a:solidFill>
              <a:schemeClr val="accent1"/>
            </a:solidFill>
            <a:bevel/>
          </a:ln>
          <a:effectLst>
            <a:outerShdw blurRad="50800" dist="50800" dir="5400000" algn="ctr" rotWithShape="0">
              <a:schemeClr val="bg1"/>
            </a:outerShdw>
          </a:effectLst>
        </c:spPr>
        <c:marker>
          <c:symbol val="none"/>
        </c:marker>
      </c:pivotFmt>
    </c:pivotFmts>
    <c:plotArea>
      <c:layout>
        <c:manualLayout>
          <c:layoutTarget val="inner"/>
          <c:xMode val="edge"/>
          <c:yMode val="edge"/>
          <c:x val="9.45545113312449E-2"/>
          <c:y val="0.11396011396011396"/>
          <c:w val="0.88080391160782323"/>
          <c:h val="0.75642259461157102"/>
        </c:manualLayout>
      </c:layout>
      <c:lineChart>
        <c:grouping val="standard"/>
        <c:varyColors val="0"/>
        <c:ser>
          <c:idx val="0"/>
          <c:order val="0"/>
          <c:tx>
            <c:strRef>
              <c:f>PIVOT_TABLE!$B$1</c:f>
              <c:strCache>
                <c:ptCount val="1"/>
                <c:pt idx="0">
                  <c:v>Total</c:v>
                </c:pt>
              </c:strCache>
            </c:strRef>
          </c:tx>
          <c:spPr>
            <a:ln w="28575" cap="rnd">
              <a:solidFill>
                <a:schemeClr val="accent1"/>
              </a:solidFill>
              <a:round/>
            </a:ln>
            <a:effectLst>
              <a:outerShdw blurRad="50800" dist="50800" dir="5400000" algn="ctr" rotWithShape="0">
                <a:schemeClr val="bg1"/>
              </a:outerShdw>
            </a:effectLst>
          </c:spPr>
          <c:marker>
            <c:symbol val="none"/>
          </c:marker>
          <c:dPt>
            <c:idx val="8"/>
            <c:marker>
              <c:symbol val="none"/>
            </c:marker>
            <c:bubble3D val="0"/>
            <c:spPr>
              <a:ln w="28575" cap="sq">
                <a:solidFill>
                  <a:schemeClr val="accent1"/>
                </a:solidFill>
                <a:bevel/>
              </a:ln>
              <a:effectLst>
                <a:outerShdw blurRad="50800" dist="50800" dir="5400000" algn="ctr" rotWithShape="0">
                  <a:schemeClr val="bg1"/>
                </a:outerShdw>
              </a:effectLst>
            </c:spPr>
            <c:extLst>
              <c:ext xmlns:c16="http://schemas.microsoft.com/office/drawing/2014/chart" uri="{C3380CC4-5D6E-409C-BE32-E72D297353CC}">
                <c16:uniqueId val="{00000000-77B5-46F0-8722-9EA0FD871CE4}"/>
              </c:ext>
            </c:extLst>
          </c:dPt>
          <c:cat>
            <c:strRef>
              <c:f>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PIVOT_TABLE!$B$2:$B$14</c:f>
              <c:numCache>
                <c:formatCode>General</c:formatCode>
                <c:ptCount val="12"/>
                <c:pt idx="0">
                  <c:v>48467</c:v>
                </c:pt>
                <c:pt idx="1">
                  <c:v>54678</c:v>
                </c:pt>
                <c:pt idx="2">
                  <c:v>85809</c:v>
                </c:pt>
                <c:pt idx="3">
                  <c:v>78997</c:v>
                </c:pt>
                <c:pt idx="4">
                  <c:v>95290</c:v>
                </c:pt>
                <c:pt idx="5">
                  <c:v>83522</c:v>
                </c:pt>
                <c:pt idx="6">
                  <c:v>36912</c:v>
                </c:pt>
                <c:pt idx="7">
                  <c:v>81710</c:v>
                </c:pt>
                <c:pt idx="8">
                  <c:v>46903</c:v>
                </c:pt>
                <c:pt idx="9">
                  <c:v>58364</c:v>
                </c:pt>
                <c:pt idx="10">
                  <c:v>92405</c:v>
                </c:pt>
                <c:pt idx="11">
                  <c:v>95367</c:v>
                </c:pt>
              </c:numCache>
            </c:numRef>
          </c:val>
          <c:smooth val="0"/>
          <c:extLst>
            <c:ext xmlns:c16="http://schemas.microsoft.com/office/drawing/2014/chart" uri="{C3380CC4-5D6E-409C-BE32-E72D297353CC}">
              <c16:uniqueId val="{00000000-6326-4AC9-81FD-728AC179168D}"/>
            </c:ext>
          </c:extLst>
        </c:ser>
        <c:dLbls>
          <c:showLegendKey val="0"/>
          <c:showVal val="0"/>
          <c:showCatName val="0"/>
          <c:showSerName val="0"/>
          <c:showPercent val="0"/>
          <c:showBubbleSize val="0"/>
        </c:dLbls>
        <c:smooth val="0"/>
        <c:axId val="920974944"/>
        <c:axId val="717003856"/>
      </c:lineChart>
      <c:catAx>
        <c:axId val="9209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717003856"/>
        <c:crosses val="autoZero"/>
        <c:auto val="1"/>
        <c:lblAlgn val="ctr"/>
        <c:lblOffset val="100"/>
        <c:noMultiLvlLbl val="0"/>
      </c:catAx>
      <c:valAx>
        <c:axId val="71700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209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dbl"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PIVOT_TABLE!$A$21:$A$41</c:f>
              <c:strCache>
                <c:ptCount val="20"/>
                <c:pt idx="0">
                  <c:v>Backpack</c:v>
                </c:pt>
                <c:pt idx="1">
                  <c:v>Bluetooth Speaker</c:v>
                </c:pt>
                <c:pt idx="2">
                  <c:v>Coffee Mug</c:v>
                </c:pt>
                <c:pt idx="3">
                  <c:v>Desk Lamp</c:v>
                </c:pt>
                <c:pt idx="4">
                  <c:v>Gel Pen Pack</c:v>
                </c:pt>
                <c:pt idx="5">
                  <c:v>Laptop Stand</c:v>
                </c:pt>
                <c:pt idx="6">
                  <c:v>Mechanical Keyboard</c:v>
                </c:pt>
                <c:pt idx="7">
                  <c:v>Monitor 24-inch</c:v>
                </c:pt>
                <c:pt idx="8">
                  <c:v>Notebook Set</c:v>
                </c:pt>
                <c:pt idx="9">
                  <c:v>Office Chair</c:v>
                </c:pt>
                <c:pt idx="10">
                  <c:v>Phone Stand</c:v>
                </c:pt>
                <c:pt idx="11">
                  <c:v>Planner</c:v>
                </c:pt>
                <c:pt idx="12">
                  <c:v>Power Bank</c:v>
                </c:pt>
                <c:pt idx="13">
                  <c:v>Running Shoes</c:v>
                </c:pt>
                <c:pt idx="14">
                  <c:v>Travel Pouch</c:v>
                </c:pt>
                <c:pt idx="15">
                  <c:v>USB-C Hub</c:v>
                </c:pt>
                <c:pt idx="16">
                  <c:v>Water Bottle</c:v>
                </c:pt>
                <c:pt idx="17">
                  <c:v>Webcam HD</c:v>
                </c:pt>
                <c:pt idx="18">
                  <c:v>Wireless Mouse</c:v>
                </c:pt>
                <c:pt idx="19">
                  <c:v>Yoga Mat</c:v>
                </c:pt>
              </c:strCache>
            </c:strRef>
          </c:cat>
          <c:val>
            <c:numRef>
              <c:f>PIVOT_TABLE!$B$21:$B$41</c:f>
              <c:numCache>
                <c:formatCode>General</c:formatCode>
                <c:ptCount val="20"/>
                <c:pt idx="0">
                  <c:v>33990</c:v>
                </c:pt>
                <c:pt idx="1">
                  <c:v>49366</c:v>
                </c:pt>
                <c:pt idx="2">
                  <c:v>2872</c:v>
                </c:pt>
                <c:pt idx="3">
                  <c:v>14335</c:v>
                </c:pt>
                <c:pt idx="4">
                  <c:v>4068</c:v>
                </c:pt>
                <c:pt idx="5">
                  <c:v>32927</c:v>
                </c:pt>
                <c:pt idx="6">
                  <c:v>45106</c:v>
                </c:pt>
                <c:pt idx="7">
                  <c:v>263974</c:v>
                </c:pt>
                <c:pt idx="8">
                  <c:v>6516</c:v>
                </c:pt>
                <c:pt idx="9">
                  <c:v>129183</c:v>
                </c:pt>
                <c:pt idx="10">
                  <c:v>8829</c:v>
                </c:pt>
                <c:pt idx="11">
                  <c:v>8283</c:v>
                </c:pt>
                <c:pt idx="12">
                  <c:v>29020</c:v>
                </c:pt>
                <c:pt idx="13">
                  <c:v>66968</c:v>
                </c:pt>
                <c:pt idx="14">
                  <c:v>12898</c:v>
                </c:pt>
                <c:pt idx="15">
                  <c:v>43535</c:v>
                </c:pt>
                <c:pt idx="16">
                  <c:v>11230</c:v>
                </c:pt>
                <c:pt idx="17">
                  <c:v>67845</c:v>
                </c:pt>
                <c:pt idx="18">
                  <c:v>11105</c:v>
                </c:pt>
                <c:pt idx="19">
                  <c:v>16374</c:v>
                </c:pt>
              </c:numCache>
            </c:numRef>
          </c:val>
          <c:extLst>
            <c:ext xmlns:c16="http://schemas.microsoft.com/office/drawing/2014/chart" uri="{C3380CC4-5D6E-409C-BE32-E72D297353CC}">
              <c16:uniqueId val="{00000000-86D5-4D17-AE84-3FA8B497804D}"/>
            </c:ext>
          </c:extLst>
        </c:ser>
        <c:dLbls>
          <c:showLegendKey val="0"/>
          <c:showVal val="0"/>
          <c:showCatName val="0"/>
          <c:showSerName val="0"/>
          <c:showPercent val="0"/>
          <c:showBubbleSize val="0"/>
        </c:dLbls>
        <c:gapWidth val="219"/>
        <c:overlap val="-27"/>
        <c:axId val="920982368"/>
        <c:axId val="717010096"/>
      </c:barChart>
      <c:catAx>
        <c:axId val="92098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10096"/>
        <c:crosses val="autoZero"/>
        <c:auto val="1"/>
        <c:lblAlgn val="ctr"/>
        <c:lblOffset val="50"/>
        <c:tickLblSkip val="1"/>
        <c:noMultiLvlLbl val="0"/>
      </c:catAx>
      <c:valAx>
        <c:axId val="71701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82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PIVOT_TABLE!$A$44:$A$49</c:f>
              <c:strCache>
                <c:ptCount val="5"/>
                <c:pt idx="0">
                  <c:v>Accessories</c:v>
                </c:pt>
                <c:pt idx="1">
                  <c:v>Electronics</c:v>
                </c:pt>
                <c:pt idx="2">
                  <c:v>Home &amp; Office</c:v>
                </c:pt>
                <c:pt idx="3">
                  <c:v>Lifestyle</c:v>
                </c:pt>
                <c:pt idx="4">
                  <c:v>Stationery</c:v>
                </c:pt>
              </c:strCache>
            </c:strRef>
          </c:cat>
          <c:val>
            <c:numRef>
              <c:f>PIVOT_TABLE!$B$44:$B$49</c:f>
              <c:numCache>
                <c:formatCode>General</c:formatCode>
                <c:ptCount val="5"/>
                <c:pt idx="0">
                  <c:v>88644</c:v>
                </c:pt>
                <c:pt idx="1">
                  <c:v>509951</c:v>
                </c:pt>
                <c:pt idx="2">
                  <c:v>146390</c:v>
                </c:pt>
                <c:pt idx="3">
                  <c:v>94572</c:v>
                </c:pt>
                <c:pt idx="4">
                  <c:v>18867</c:v>
                </c:pt>
              </c:numCache>
            </c:numRef>
          </c:val>
          <c:extLst>
            <c:ext xmlns:c16="http://schemas.microsoft.com/office/drawing/2014/chart" uri="{C3380CC4-5D6E-409C-BE32-E72D297353CC}">
              <c16:uniqueId val="{00000000-3947-40AA-85F6-6EB31D473144}"/>
            </c:ext>
          </c:extLst>
        </c:ser>
        <c:dLbls>
          <c:showLegendKey val="0"/>
          <c:showVal val="0"/>
          <c:showCatName val="0"/>
          <c:showSerName val="0"/>
          <c:showPercent val="0"/>
          <c:showBubbleSize val="0"/>
        </c:dLbls>
        <c:gapWidth val="182"/>
        <c:axId val="464944447"/>
        <c:axId val="717068176"/>
      </c:barChart>
      <c:catAx>
        <c:axId val="46494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68176"/>
        <c:crosses val="autoZero"/>
        <c:auto val="1"/>
        <c:lblAlgn val="ctr"/>
        <c:lblOffset val="100"/>
        <c:noMultiLvlLbl val="0"/>
      </c:catAx>
      <c:valAx>
        <c:axId val="71706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4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[ecommerce_project_excel_sql.xlsx]PIVOT_TABLE!PivotTable4</c:name>
    <c:fmtId val="3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accentCallout1">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accentCallout1">
                  <a:avLst/>
                </a:prstGeom>
                <a:pattFill prst="pct75">
                  <a:fgClr>
                    <a:schemeClr val="dk1">
                      <a:lumMod val="75000"/>
                      <a:lumOff val="25000"/>
                    </a:schemeClr>
                  </a:fgClr>
                  <a:bgClr>
                    <a:schemeClr val="dk1">
                      <a:lumMod val="65000"/>
                      <a:lumOff val="35000"/>
                    </a:schemeClr>
                  </a:bgClr>
                </a:pattFill>
                <a:ln>
                  <a:noFill/>
                </a:ln>
              </c15:spPr>
              <c15:layout>
                <c:manualLayout>
                  <c:w val="0.10315338519873843"/>
                  <c:h val="3.988900907890934E-2"/>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0669572697876226"/>
          <c:y val="0.14680766948316745"/>
          <c:w val="0.77776934844673717"/>
          <c:h val="0.63067776335806136"/>
        </c:manualLayout>
      </c:layout>
      <c:doughnutChart>
        <c:varyColors val="1"/>
        <c:ser>
          <c:idx val="0"/>
          <c:order val="0"/>
          <c:tx>
            <c:strRef>
              <c:f>PIVOT_TABLE!$B$51</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F1D-4017-8EEF-EDA30443F7E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F1D-4017-8EEF-EDA30443F7E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F1D-4017-8EEF-EDA30443F7E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F1D-4017-8EEF-EDA30443F7E6}"/>
              </c:ext>
            </c:extLst>
          </c:dPt>
          <c:dLbls>
            <c:dLbl>
              <c:idx val="1"/>
              <c:showLegendKey val="0"/>
              <c:showVal val="0"/>
              <c:showCatName val="0"/>
              <c:showSerName val="0"/>
              <c:showPercent val="1"/>
              <c:showBubbleSize val="0"/>
              <c:extLst>
                <c:ext xmlns:c15="http://schemas.microsoft.com/office/drawing/2012/chart" uri="{CE6537A1-D6FC-4f65-9D91-7224C49458BB}">
                  <c15:layout>
                    <c:manualLayout>
                      <c:w val="0.10315338519873843"/>
                      <c:h val="3.988900907890934E-2"/>
                    </c:manualLayout>
                  </c15:layout>
                </c:ext>
                <c:ext xmlns:c16="http://schemas.microsoft.com/office/drawing/2014/chart" uri="{C3380CC4-5D6E-409C-BE32-E72D297353CC}">
                  <c16:uniqueId val="{00000003-8F1D-4017-8EEF-EDA30443F7E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accentCallout1">
                    <a:avLst/>
                  </a:prstGeom>
                  <a:pattFill prst="pct75">
                    <a:fgClr>
                      <a:schemeClr val="dk1">
                        <a:lumMod val="75000"/>
                        <a:lumOff val="25000"/>
                      </a:schemeClr>
                    </a:fgClr>
                    <a:bgClr>
                      <a:schemeClr val="dk1">
                        <a:lumMod val="65000"/>
                        <a:lumOff val="35000"/>
                      </a:schemeClr>
                    </a:bgClr>
                  </a:pattFill>
                  <a:ln>
                    <a:noFill/>
                  </a:ln>
                </c15:spPr>
              </c:ext>
            </c:extLst>
          </c:dLbls>
          <c:cat>
            <c:strRef>
              <c:f>PIVOT_TABLE!$A$52:$A$56</c:f>
              <c:strCache>
                <c:ptCount val="4"/>
                <c:pt idx="0">
                  <c:v>Cancelled</c:v>
                </c:pt>
                <c:pt idx="1">
                  <c:v>Delivered</c:v>
                </c:pt>
                <c:pt idx="2">
                  <c:v>Pending</c:v>
                </c:pt>
                <c:pt idx="3">
                  <c:v>Returned</c:v>
                </c:pt>
              </c:strCache>
            </c:strRef>
          </c:cat>
          <c:val>
            <c:numRef>
              <c:f>PIVOT_TABLE!$B$52:$B$56</c:f>
              <c:numCache>
                <c:formatCode>General</c:formatCode>
                <c:ptCount val="4"/>
                <c:pt idx="0">
                  <c:v>38</c:v>
                </c:pt>
                <c:pt idx="1">
                  <c:v>171</c:v>
                </c:pt>
                <c:pt idx="2">
                  <c:v>46</c:v>
                </c:pt>
                <c:pt idx="3">
                  <c:v>45</c:v>
                </c:pt>
              </c:numCache>
            </c:numRef>
          </c:val>
          <c:extLst>
            <c:ext xmlns:c16="http://schemas.microsoft.com/office/drawing/2014/chart" uri="{C3380CC4-5D6E-409C-BE32-E72D297353CC}">
              <c16:uniqueId val="{00000008-8F1D-4017-8EEF-EDA30443F7E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8.0937121985102806E-2"/>
          <c:y val="0.89952505235260072"/>
          <c:w val="0.8999997912000568"/>
          <c:h val="6.047646016560381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[ecommerce_project_excel_sql.xlsx]PIVOT_TABLE!PivotTable1</c:name>
    <c:fmtId val="7"/>
  </c:pivotSource>
  <c:chart>
    <c:autoTitleDeleted val="1"/>
    <c:pivotFmts>
      <c:pivotFmt>
        <c:idx val="0"/>
        <c:spPr>
          <a:ln w="28575" cap="rnd">
            <a:solidFill>
              <a:schemeClr val="accent1"/>
            </a:solidFill>
            <a:round/>
          </a:ln>
          <a:effectLst>
            <a:outerShdw blurRad="50800" dist="50800" dir="5400000" algn="ctr" rotWithShape="0">
              <a:schemeClr val="bg1"/>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a:outerShdw blurRad="50800" dist="50800" dir="5400000" algn="ctr" rotWithShape="0">
              <a:schemeClr val="bg1"/>
            </a:outerShdw>
          </a:effectLst>
        </c:spPr>
        <c:marker>
          <c:symbol val="none"/>
        </c:marker>
      </c:pivotFmt>
    </c:pivotFmts>
    <c:plotArea>
      <c:layout/>
      <c:lineChart>
        <c:grouping val="standard"/>
        <c:varyColors val="0"/>
        <c:ser>
          <c:idx val="0"/>
          <c:order val="0"/>
          <c:tx>
            <c:strRef>
              <c:f>PIVOT_TABLE!$B$1</c:f>
              <c:strCache>
                <c:ptCount val="1"/>
                <c:pt idx="0">
                  <c:v>Total</c:v>
                </c:pt>
              </c:strCache>
            </c:strRef>
          </c:tx>
          <c:spPr>
            <a:ln w="28575" cap="rnd">
              <a:solidFill>
                <a:schemeClr val="accent1"/>
              </a:solidFill>
              <a:round/>
            </a:ln>
            <a:effectLst>
              <a:outerShdw blurRad="50800" dist="50800" dir="5400000" algn="ctr" rotWithShape="0">
                <a:schemeClr val="bg1"/>
              </a:outerShdw>
            </a:effectLst>
          </c:spPr>
          <c:marker>
            <c:symbol val="none"/>
          </c:marker>
          <c:cat>
            <c:strRef>
              <c:f>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PIVOT_TABLE!$B$2:$B$14</c:f>
              <c:numCache>
                <c:formatCode>General</c:formatCode>
                <c:ptCount val="12"/>
                <c:pt idx="0">
                  <c:v>48467</c:v>
                </c:pt>
                <c:pt idx="1">
                  <c:v>54678</c:v>
                </c:pt>
                <c:pt idx="2">
                  <c:v>85809</c:v>
                </c:pt>
                <c:pt idx="3">
                  <c:v>78997</c:v>
                </c:pt>
                <c:pt idx="4">
                  <c:v>95290</c:v>
                </c:pt>
                <c:pt idx="5">
                  <c:v>83522</c:v>
                </c:pt>
                <c:pt idx="6">
                  <c:v>36912</c:v>
                </c:pt>
                <c:pt idx="7">
                  <c:v>81710</c:v>
                </c:pt>
                <c:pt idx="8">
                  <c:v>46903</c:v>
                </c:pt>
                <c:pt idx="9">
                  <c:v>58364</c:v>
                </c:pt>
                <c:pt idx="10">
                  <c:v>92405</c:v>
                </c:pt>
                <c:pt idx="11">
                  <c:v>95367</c:v>
                </c:pt>
              </c:numCache>
            </c:numRef>
          </c:val>
          <c:smooth val="0"/>
          <c:extLst>
            <c:ext xmlns:c16="http://schemas.microsoft.com/office/drawing/2014/chart" uri="{C3380CC4-5D6E-409C-BE32-E72D297353CC}">
              <c16:uniqueId val="{00000000-0249-424F-8260-3917DDF196B5}"/>
            </c:ext>
          </c:extLst>
        </c:ser>
        <c:dLbls>
          <c:showLegendKey val="0"/>
          <c:showVal val="0"/>
          <c:showCatName val="0"/>
          <c:showSerName val="0"/>
          <c:showPercent val="0"/>
          <c:showBubbleSize val="0"/>
        </c:dLbls>
        <c:smooth val="0"/>
        <c:axId val="920974944"/>
        <c:axId val="717003856"/>
      </c:lineChart>
      <c:catAx>
        <c:axId val="92097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717003856"/>
        <c:crosses val="autoZero"/>
        <c:auto val="1"/>
        <c:lblAlgn val="ctr"/>
        <c:lblOffset val="100"/>
        <c:noMultiLvlLbl val="0"/>
      </c:catAx>
      <c:valAx>
        <c:axId val="717003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2097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dbl"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PIVOT_TABLE!$B$20</c:f>
              <c:strCache>
                <c:ptCount val="1"/>
                <c:pt idx="0">
                  <c:v>Total</c:v>
                </c:pt>
              </c:strCache>
            </c:strRef>
          </c:tx>
          <c:spPr>
            <a:solidFill>
              <a:schemeClr val="accent1"/>
            </a:solidFill>
            <a:ln>
              <a:noFill/>
            </a:ln>
            <a:effectLst/>
          </c:spPr>
          <c:invertIfNegative val="0"/>
          <c:cat>
            <c:strRef>
              <c:f>PIVOT_TABLE!$A$21:$A$41</c:f>
              <c:strCache>
                <c:ptCount val="20"/>
                <c:pt idx="0">
                  <c:v>Backpack</c:v>
                </c:pt>
                <c:pt idx="1">
                  <c:v>Bluetooth Speaker</c:v>
                </c:pt>
                <c:pt idx="2">
                  <c:v>Coffee Mug</c:v>
                </c:pt>
                <c:pt idx="3">
                  <c:v>Desk Lamp</c:v>
                </c:pt>
                <c:pt idx="4">
                  <c:v>Gel Pen Pack</c:v>
                </c:pt>
                <c:pt idx="5">
                  <c:v>Laptop Stand</c:v>
                </c:pt>
                <c:pt idx="6">
                  <c:v>Mechanical Keyboard</c:v>
                </c:pt>
                <c:pt idx="7">
                  <c:v>Monitor 24-inch</c:v>
                </c:pt>
                <c:pt idx="8">
                  <c:v>Notebook Set</c:v>
                </c:pt>
                <c:pt idx="9">
                  <c:v>Office Chair</c:v>
                </c:pt>
                <c:pt idx="10">
                  <c:v>Phone Stand</c:v>
                </c:pt>
                <c:pt idx="11">
                  <c:v>Planner</c:v>
                </c:pt>
                <c:pt idx="12">
                  <c:v>Power Bank</c:v>
                </c:pt>
                <c:pt idx="13">
                  <c:v>Running Shoes</c:v>
                </c:pt>
                <c:pt idx="14">
                  <c:v>Travel Pouch</c:v>
                </c:pt>
                <c:pt idx="15">
                  <c:v>USB-C Hub</c:v>
                </c:pt>
                <c:pt idx="16">
                  <c:v>Water Bottle</c:v>
                </c:pt>
                <c:pt idx="17">
                  <c:v>Webcam HD</c:v>
                </c:pt>
                <c:pt idx="18">
                  <c:v>Wireless Mouse</c:v>
                </c:pt>
                <c:pt idx="19">
                  <c:v>Yoga Mat</c:v>
                </c:pt>
              </c:strCache>
            </c:strRef>
          </c:cat>
          <c:val>
            <c:numRef>
              <c:f>PIVOT_TABLE!$B$21:$B$41</c:f>
              <c:numCache>
                <c:formatCode>General</c:formatCode>
                <c:ptCount val="20"/>
                <c:pt idx="0">
                  <c:v>33990</c:v>
                </c:pt>
                <c:pt idx="1">
                  <c:v>49366</c:v>
                </c:pt>
                <c:pt idx="2">
                  <c:v>2872</c:v>
                </c:pt>
                <c:pt idx="3">
                  <c:v>14335</c:v>
                </c:pt>
                <c:pt idx="4">
                  <c:v>4068</c:v>
                </c:pt>
                <c:pt idx="5">
                  <c:v>32927</c:v>
                </c:pt>
                <c:pt idx="6">
                  <c:v>45106</c:v>
                </c:pt>
                <c:pt idx="7">
                  <c:v>263974</c:v>
                </c:pt>
                <c:pt idx="8">
                  <c:v>6516</c:v>
                </c:pt>
                <c:pt idx="9">
                  <c:v>129183</c:v>
                </c:pt>
                <c:pt idx="10">
                  <c:v>8829</c:v>
                </c:pt>
                <c:pt idx="11">
                  <c:v>8283</c:v>
                </c:pt>
                <c:pt idx="12">
                  <c:v>29020</c:v>
                </c:pt>
                <c:pt idx="13">
                  <c:v>66968</c:v>
                </c:pt>
                <c:pt idx="14">
                  <c:v>12898</c:v>
                </c:pt>
                <c:pt idx="15">
                  <c:v>43535</c:v>
                </c:pt>
                <c:pt idx="16">
                  <c:v>11230</c:v>
                </c:pt>
                <c:pt idx="17">
                  <c:v>67845</c:v>
                </c:pt>
                <c:pt idx="18">
                  <c:v>11105</c:v>
                </c:pt>
                <c:pt idx="19">
                  <c:v>16374</c:v>
                </c:pt>
              </c:numCache>
            </c:numRef>
          </c:val>
          <c:extLst>
            <c:ext xmlns:c16="http://schemas.microsoft.com/office/drawing/2014/chart" uri="{C3380CC4-5D6E-409C-BE32-E72D297353CC}">
              <c16:uniqueId val="{00000000-4042-482B-B9EA-6F533CFB0743}"/>
            </c:ext>
          </c:extLst>
        </c:ser>
        <c:dLbls>
          <c:showLegendKey val="0"/>
          <c:showVal val="0"/>
          <c:showCatName val="0"/>
          <c:showSerName val="0"/>
          <c:showPercent val="0"/>
          <c:showBubbleSize val="0"/>
        </c:dLbls>
        <c:gapWidth val="219"/>
        <c:overlap val="-27"/>
        <c:axId val="920982368"/>
        <c:axId val="717010096"/>
      </c:barChart>
      <c:catAx>
        <c:axId val="92098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10096"/>
        <c:crosses val="autoZero"/>
        <c:auto val="1"/>
        <c:lblAlgn val="ctr"/>
        <c:lblOffset val="50"/>
        <c:tickLblSkip val="1"/>
        <c:noMultiLvlLbl val="0"/>
      </c:catAx>
      <c:valAx>
        <c:axId val="71701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82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[ecommerce_project_excel_sql.xlsx]PIVOT_TABLE!PivotTable3</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PIVOT_TABLE!$B$43</c:f>
              <c:strCache>
                <c:ptCount val="1"/>
                <c:pt idx="0">
                  <c:v>Total</c:v>
                </c:pt>
              </c:strCache>
            </c:strRef>
          </c:tx>
          <c:spPr>
            <a:solidFill>
              <a:schemeClr val="accent1"/>
            </a:solidFill>
            <a:ln>
              <a:noFill/>
            </a:ln>
            <a:effectLst/>
          </c:spPr>
          <c:invertIfNegative val="0"/>
          <c:cat>
            <c:strRef>
              <c:f>PIVOT_TABLE!$A$44:$A$49</c:f>
              <c:strCache>
                <c:ptCount val="5"/>
                <c:pt idx="0">
                  <c:v>Accessories</c:v>
                </c:pt>
                <c:pt idx="1">
                  <c:v>Electronics</c:v>
                </c:pt>
                <c:pt idx="2">
                  <c:v>Home &amp; Office</c:v>
                </c:pt>
                <c:pt idx="3">
                  <c:v>Lifestyle</c:v>
                </c:pt>
                <c:pt idx="4">
                  <c:v>Stationery</c:v>
                </c:pt>
              </c:strCache>
            </c:strRef>
          </c:cat>
          <c:val>
            <c:numRef>
              <c:f>PIVOT_TABLE!$B$44:$B$49</c:f>
              <c:numCache>
                <c:formatCode>General</c:formatCode>
                <c:ptCount val="5"/>
                <c:pt idx="0">
                  <c:v>88644</c:v>
                </c:pt>
                <c:pt idx="1">
                  <c:v>509951</c:v>
                </c:pt>
                <c:pt idx="2">
                  <c:v>146390</c:v>
                </c:pt>
                <c:pt idx="3">
                  <c:v>94572</c:v>
                </c:pt>
                <c:pt idx="4">
                  <c:v>18867</c:v>
                </c:pt>
              </c:numCache>
            </c:numRef>
          </c:val>
          <c:extLst>
            <c:ext xmlns:c16="http://schemas.microsoft.com/office/drawing/2014/chart" uri="{C3380CC4-5D6E-409C-BE32-E72D297353CC}">
              <c16:uniqueId val="{00000000-55A1-49EF-9F5C-B6ED1FBA1E23}"/>
            </c:ext>
          </c:extLst>
        </c:ser>
        <c:dLbls>
          <c:showLegendKey val="0"/>
          <c:showVal val="0"/>
          <c:showCatName val="0"/>
          <c:showSerName val="0"/>
          <c:showPercent val="0"/>
          <c:showBubbleSize val="0"/>
        </c:dLbls>
        <c:gapWidth val="182"/>
        <c:axId val="464944447"/>
        <c:axId val="717068176"/>
      </c:barChart>
      <c:catAx>
        <c:axId val="46494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68176"/>
        <c:crosses val="autoZero"/>
        <c:auto val="1"/>
        <c:lblAlgn val="ctr"/>
        <c:lblOffset val="100"/>
        <c:noMultiLvlLbl val="0"/>
      </c:catAx>
      <c:valAx>
        <c:axId val="717068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4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[ecommerce_project_excel_sql.xlsx]PIVOT_TABLE!PivotTable4</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PIVOT_TABLE!$B$51</c:f>
              <c:strCache>
                <c:ptCount val="1"/>
                <c:pt idx="0">
                  <c:v>Total</c:v>
                </c:pt>
              </c:strCache>
            </c:strRef>
          </c:tx>
          <c:spPr>
            <a:ln>
              <a:noFill/>
            </a:ln>
          </c:spPr>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D3A-4492-927E-FCE1C68C66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D3A-4492-927E-FCE1C68C66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D3A-4492-927E-FCE1C68C6621}"/>
              </c:ext>
            </c:extLst>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PIVOT_TABLE!$A$52:$A$56</c:f>
              <c:strCache>
                <c:ptCount val="4"/>
                <c:pt idx="0">
                  <c:v>Cancelled</c:v>
                </c:pt>
                <c:pt idx="1">
                  <c:v>Delivered</c:v>
                </c:pt>
                <c:pt idx="2">
                  <c:v>Pending</c:v>
                </c:pt>
                <c:pt idx="3">
                  <c:v>Returned</c:v>
                </c:pt>
              </c:strCache>
            </c:strRef>
          </c:cat>
          <c:val>
            <c:numRef>
              <c:f>PIVOT_TABLE!$B$52:$B$56</c:f>
              <c:numCache>
                <c:formatCode>General</c:formatCode>
                <c:ptCount val="4"/>
                <c:pt idx="0">
                  <c:v>38</c:v>
                </c:pt>
                <c:pt idx="1">
                  <c:v>171</c:v>
                </c:pt>
                <c:pt idx="2">
                  <c:v>46</c:v>
                </c:pt>
                <c:pt idx="3">
                  <c:v>45</c:v>
                </c:pt>
              </c:numCache>
            </c:numRef>
          </c:val>
          <c:extLst>
            <c:ext xmlns:c16="http://schemas.microsoft.com/office/drawing/2014/chart" uri="{C3380CC4-5D6E-409C-BE32-E72D297353CC}">
              <c16:uniqueId val="{00000000-7C7C-4699-813D-01CE40495B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53340</xdr:rowOff>
    </xdr:from>
    <xdr:to>
      <xdr:col>23</xdr:col>
      <xdr:colOff>114300</xdr:colOff>
      <xdr:row>30</xdr:row>
      <xdr:rowOff>60960</xdr:rowOff>
    </xdr:to>
    <xdr:sp macro="" textlink="">
      <xdr:nvSpPr>
        <xdr:cNvPr id="2" name="Rectangle: Rounded Corners 1">
          <a:extLst>
            <a:ext uri="{FF2B5EF4-FFF2-40B4-BE49-F238E27FC236}">
              <a16:creationId xmlns:a16="http://schemas.microsoft.com/office/drawing/2014/main" id="{AA5EAE3E-DFD6-245D-8604-27C061C89EEB}"/>
            </a:ext>
          </a:extLst>
        </xdr:cNvPr>
        <xdr:cNvSpPr/>
      </xdr:nvSpPr>
      <xdr:spPr>
        <a:xfrm>
          <a:off x="60960" y="53340"/>
          <a:ext cx="14074140" cy="5494020"/>
        </a:xfrm>
        <a:prstGeom prst="roundRect">
          <a:avLst>
            <a:gd name="adj" fmla="val 3586"/>
          </a:avLst>
        </a:prstGeom>
        <a:gradFill flip="none" rotWithShape="1">
          <a:gsLst>
            <a:gs pos="0">
              <a:schemeClr val="accent5">
                <a:lumMod val="60000"/>
                <a:lumOff val="40000"/>
                <a:shade val="30000"/>
                <a:satMod val="115000"/>
              </a:schemeClr>
            </a:gs>
            <a:gs pos="50000">
              <a:schemeClr val="accent5">
                <a:lumMod val="60000"/>
                <a:lumOff val="40000"/>
                <a:shade val="67500"/>
                <a:satMod val="115000"/>
              </a:schemeClr>
            </a:gs>
            <a:gs pos="100000">
              <a:schemeClr val="accent5">
                <a:lumMod val="60000"/>
                <a:lumOff val="40000"/>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0</xdr:row>
      <xdr:rowOff>53340</xdr:rowOff>
    </xdr:from>
    <xdr:to>
      <xdr:col>23</xdr:col>
      <xdr:colOff>114300</xdr:colOff>
      <xdr:row>30</xdr:row>
      <xdr:rowOff>60960</xdr:rowOff>
    </xdr:to>
    <xdr:sp macro="" textlink="">
      <xdr:nvSpPr>
        <xdr:cNvPr id="3" name="Rectangle: Rounded Corners 2">
          <a:extLst>
            <a:ext uri="{FF2B5EF4-FFF2-40B4-BE49-F238E27FC236}">
              <a16:creationId xmlns:a16="http://schemas.microsoft.com/office/drawing/2014/main" id="{5C473017-5C2D-F0C2-D545-CD2A096BB6A1}"/>
            </a:ext>
          </a:extLst>
        </xdr:cNvPr>
        <xdr:cNvSpPr/>
      </xdr:nvSpPr>
      <xdr:spPr>
        <a:xfrm>
          <a:off x="1981200" y="53340"/>
          <a:ext cx="12153900" cy="5494020"/>
        </a:xfrm>
        <a:prstGeom prst="roundRect">
          <a:avLst>
            <a:gd name="adj" fmla="val 3586"/>
          </a:avLst>
        </a:prstGeom>
        <a:gradFill flip="none" rotWithShape="1">
          <a:gsLst>
            <a:gs pos="0">
              <a:schemeClr val="accent3">
                <a:lumMod val="75000"/>
                <a:tint val="66000"/>
                <a:satMod val="160000"/>
              </a:schemeClr>
            </a:gs>
            <a:gs pos="50000">
              <a:schemeClr val="accent3">
                <a:lumMod val="75000"/>
                <a:tint val="44500"/>
                <a:satMod val="160000"/>
              </a:schemeClr>
            </a:gs>
            <a:gs pos="100000">
              <a:schemeClr val="accent3">
                <a:lumMod val="75000"/>
                <a:tint val="23500"/>
                <a:satMod val="16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266700</xdr:colOff>
      <xdr:row>0</xdr:row>
      <xdr:rowOff>76200</xdr:rowOff>
    </xdr:from>
    <xdr:to>
      <xdr:col>12</xdr:col>
      <xdr:colOff>518160</xdr:colOff>
      <xdr:row>5</xdr:row>
      <xdr:rowOff>83820</xdr:rowOff>
    </xdr:to>
    <mc:AlternateContent xmlns:mc="http://schemas.openxmlformats.org/markup-compatibility/2006" xmlns:tsle="http://schemas.microsoft.com/office/drawing/2012/timeslicer">
      <mc:Choice Requires="tsle">
        <xdr:graphicFrame macro="">
          <xdr:nvGraphicFramePr>
            <xdr:cNvPr id="4" name="orders.order_date 1">
              <a:extLst>
                <a:ext uri="{FF2B5EF4-FFF2-40B4-BE49-F238E27FC236}">
                  <a16:creationId xmlns:a16="http://schemas.microsoft.com/office/drawing/2014/main" id="{0C7FF4F7-DF23-4C10-8B76-E4C5C07CE289}"/>
                </a:ext>
              </a:extLst>
            </xdr:cNvPr>
            <xdr:cNvGraphicFramePr/>
          </xdr:nvGraphicFramePr>
          <xdr:xfrm>
            <a:off x="0" y="0"/>
            <a:ext cx="0" cy="0"/>
          </xdr:xfrm>
          <a:graphic>
            <a:graphicData uri="http://schemas.microsoft.com/office/drawing/2012/timeslicer">
              <tsle:timeslicer name="orders.order_date 1"/>
            </a:graphicData>
          </a:graphic>
        </xdr:graphicFrame>
      </mc:Choice>
      <mc:Fallback xmlns="">
        <xdr:sp macro="" textlink="">
          <xdr:nvSpPr>
            <xdr:cNvPr id="0" name=""/>
            <xdr:cNvSpPr>
              <a:spLocks noTextEdit="1"/>
            </xdr:cNvSpPr>
          </xdr:nvSpPr>
          <xdr:spPr>
            <a:xfrm>
              <a:off x="2095500" y="76200"/>
              <a:ext cx="5737860" cy="922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266700</xdr:colOff>
      <xdr:row>5</xdr:row>
      <xdr:rowOff>114300</xdr:rowOff>
    </xdr:from>
    <xdr:to>
      <xdr:col>12</xdr:col>
      <xdr:colOff>533400</xdr:colOff>
      <xdr:row>9</xdr:row>
      <xdr:rowOff>53339</xdr:rowOff>
    </xdr:to>
    <mc:AlternateContent xmlns:mc="http://schemas.openxmlformats.org/markup-compatibility/2006">
      <mc:Choice xmlns:a14="http://schemas.microsoft.com/office/drawing/2010/main" Requires="a14">
        <xdr:graphicFrame macro="">
          <xdr:nvGraphicFramePr>
            <xdr:cNvPr id="5" name="products.category 1">
              <a:extLst>
                <a:ext uri="{FF2B5EF4-FFF2-40B4-BE49-F238E27FC236}">
                  <a16:creationId xmlns:a16="http://schemas.microsoft.com/office/drawing/2014/main" id="{905A4C4A-1743-4646-B803-B0262209EE83}"/>
                </a:ext>
              </a:extLst>
            </xdr:cNvPr>
            <xdr:cNvGraphicFramePr/>
          </xdr:nvGraphicFramePr>
          <xdr:xfrm>
            <a:off x="0" y="0"/>
            <a:ext cx="0" cy="0"/>
          </xdr:xfrm>
          <a:graphic>
            <a:graphicData uri="http://schemas.microsoft.com/office/drawing/2010/slicer">
              <sle:slicer xmlns:sle="http://schemas.microsoft.com/office/drawing/2010/slicer" name="products.category 1"/>
            </a:graphicData>
          </a:graphic>
        </xdr:graphicFrame>
      </mc:Choice>
      <mc:Fallback>
        <xdr:sp macro="" textlink="">
          <xdr:nvSpPr>
            <xdr:cNvPr id="0" name=""/>
            <xdr:cNvSpPr>
              <a:spLocks noTextEdit="1"/>
            </xdr:cNvSpPr>
          </xdr:nvSpPr>
          <xdr:spPr>
            <a:xfrm>
              <a:off x="2090882" y="1037936"/>
              <a:ext cx="5739245" cy="677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586740</xdr:colOff>
      <xdr:row>0</xdr:row>
      <xdr:rowOff>76200</xdr:rowOff>
    </xdr:from>
    <xdr:to>
      <xdr:col>22</xdr:col>
      <xdr:colOff>579120</xdr:colOff>
      <xdr:row>5</xdr:row>
      <xdr:rowOff>83819</xdr:rowOff>
    </xdr:to>
    <mc:AlternateContent xmlns:mc="http://schemas.openxmlformats.org/markup-compatibility/2006" xmlns:a14="http://schemas.microsoft.com/office/drawing/2010/main">
      <mc:Choice Requires="a14">
        <xdr:graphicFrame macro="">
          <xdr:nvGraphicFramePr>
            <xdr:cNvPr id="6" name="customers.city 1">
              <a:extLst>
                <a:ext uri="{FF2B5EF4-FFF2-40B4-BE49-F238E27FC236}">
                  <a16:creationId xmlns:a16="http://schemas.microsoft.com/office/drawing/2014/main" id="{83435F1A-EFA6-4B38-A147-76887F2847F7}"/>
                </a:ext>
              </a:extLst>
            </xdr:cNvPr>
            <xdr:cNvGraphicFramePr/>
          </xdr:nvGraphicFramePr>
          <xdr:xfrm>
            <a:off x="0" y="0"/>
            <a:ext cx="0" cy="0"/>
          </xdr:xfrm>
          <a:graphic>
            <a:graphicData uri="http://schemas.microsoft.com/office/drawing/2010/slicer">
              <sle:slicer xmlns:sle="http://schemas.microsoft.com/office/drawing/2010/slicer" name="customers.city 1"/>
            </a:graphicData>
          </a:graphic>
        </xdr:graphicFrame>
      </mc:Choice>
      <mc:Fallback xmlns="">
        <xdr:sp macro="" textlink="">
          <xdr:nvSpPr>
            <xdr:cNvPr id="0" name=""/>
            <xdr:cNvSpPr>
              <a:spLocks noTextEdit="1"/>
            </xdr:cNvSpPr>
          </xdr:nvSpPr>
          <xdr:spPr>
            <a:xfrm>
              <a:off x="7901940" y="76200"/>
              <a:ext cx="6088380" cy="922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586740</xdr:colOff>
      <xdr:row>5</xdr:row>
      <xdr:rowOff>106680</xdr:rowOff>
    </xdr:from>
    <xdr:to>
      <xdr:col>22</xdr:col>
      <xdr:colOff>601980</xdr:colOff>
      <xdr:row>9</xdr:row>
      <xdr:rowOff>53340</xdr:rowOff>
    </xdr:to>
    <mc:AlternateContent xmlns:mc="http://schemas.openxmlformats.org/markup-compatibility/2006" xmlns:a14="http://schemas.microsoft.com/office/drawing/2010/main">
      <mc:Choice Requires="a14">
        <xdr:graphicFrame macro="">
          <xdr:nvGraphicFramePr>
            <xdr:cNvPr id="7" name="orders.order_status 1">
              <a:extLst>
                <a:ext uri="{FF2B5EF4-FFF2-40B4-BE49-F238E27FC236}">
                  <a16:creationId xmlns:a16="http://schemas.microsoft.com/office/drawing/2014/main" id="{C326A760-2DDD-43C5-9B84-485348CD83B9}"/>
                </a:ext>
              </a:extLst>
            </xdr:cNvPr>
            <xdr:cNvGraphicFramePr/>
          </xdr:nvGraphicFramePr>
          <xdr:xfrm>
            <a:off x="0" y="0"/>
            <a:ext cx="0" cy="0"/>
          </xdr:xfrm>
          <a:graphic>
            <a:graphicData uri="http://schemas.microsoft.com/office/drawing/2010/slicer">
              <sle:slicer xmlns:sle="http://schemas.microsoft.com/office/drawing/2010/slicer" name="orders.order_status 1"/>
            </a:graphicData>
          </a:graphic>
        </xdr:graphicFrame>
      </mc:Choice>
      <mc:Fallback xmlns="">
        <xdr:sp macro="" textlink="">
          <xdr:nvSpPr>
            <xdr:cNvPr id="0" name=""/>
            <xdr:cNvSpPr>
              <a:spLocks noTextEdit="1"/>
            </xdr:cNvSpPr>
          </xdr:nvSpPr>
          <xdr:spPr>
            <a:xfrm>
              <a:off x="7901940" y="1021080"/>
              <a:ext cx="611124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297180</xdr:colOff>
      <xdr:row>9</xdr:row>
      <xdr:rowOff>106680</xdr:rowOff>
    </xdr:from>
    <xdr:to>
      <xdr:col>12</xdr:col>
      <xdr:colOff>556260</xdr:colOff>
      <xdr:row>19</xdr:row>
      <xdr:rowOff>121920</xdr:rowOff>
    </xdr:to>
    <xdr:sp macro="" textlink="">
      <xdr:nvSpPr>
        <xdr:cNvPr id="8" name="Rectangle 7">
          <a:extLst>
            <a:ext uri="{FF2B5EF4-FFF2-40B4-BE49-F238E27FC236}">
              <a16:creationId xmlns:a16="http://schemas.microsoft.com/office/drawing/2014/main" id="{CDE89626-1C87-288A-B666-4590E9D6689D}"/>
            </a:ext>
          </a:extLst>
        </xdr:cNvPr>
        <xdr:cNvSpPr/>
      </xdr:nvSpPr>
      <xdr:spPr>
        <a:xfrm>
          <a:off x="2125980" y="1752600"/>
          <a:ext cx="5745480" cy="1844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297180</xdr:colOff>
      <xdr:row>19</xdr:row>
      <xdr:rowOff>175260</xdr:rowOff>
    </xdr:from>
    <xdr:to>
      <xdr:col>12</xdr:col>
      <xdr:colOff>556260</xdr:colOff>
      <xdr:row>30</xdr:row>
      <xdr:rowOff>15240</xdr:rowOff>
    </xdr:to>
    <xdr:sp macro="" textlink="">
      <xdr:nvSpPr>
        <xdr:cNvPr id="9" name="Rectangle 8">
          <a:extLst>
            <a:ext uri="{FF2B5EF4-FFF2-40B4-BE49-F238E27FC236}">
              <a16:creationId xmlns:a16="http://schemas.microsoft.com/office/drawing/2014/main" id="{CFBB97FE-C0E1-FB38-83EA-6A9FBACFCB7D}"/>
            </a:ext>
          </a:extLst>
        </xdr:cNvPr>
        <xdr:cNvSpPr/>
      </xdr:nvSpPr>
      <xdr:spPr>
        <a:xfrm>
          <a:off x="2125980" y="3649980"/>
          <a:ext cx="5745480" cy="18516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320040</xdr:colOff>
      <xdr:row>9</xdr:row>
      <xdr:rowOff>137160</xdr:rowOff>
    </xdr:from>
    <xdr:to>
      <xdr:col>12</xdr:col>
      <xdr:colOff>502920</xdr:colOff>
      <xdr:row>19</xdr:row>
      <xdr:rowOff>91440</xdr:rowOff>
    </xdr:to>
    <xdr:graphicFrame macro="">
      <xdr:nvGraphicFramePr>
        <xdr:cNvPr id="10" name="Chart 9">
          <a:extLst>
            <a:ext uri="{FF2B5EF4-FFF2-40B4-BE49-F238E27FC236}">
              <a16:creationId xmlns:a16="http://schemas.microsoft.com/office/drawing/2014/main" id="{6CD46B56-CBC1-4798-A075-586D4467C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20</xdr:row>
      <xdr:rowOff>22860</xdr:rowOff>
    </xdr:from>
    <xdr:to>
      <xdr:col>12</xdr:col>
      <xdr:colOff>518160</xdr:colOff>
      <xdr:row>29</xdr:row>
      <xdr:rowOff>160020</xdr:rowOff>
    </xdr:to>
    <xdr:graphicFrame macro="">
      <xdr:nvGraphicFramePr>
        <xdr:cNvPr id="11" name="Chart 10">
          <a:extLst>
            <a:ext uri="{FF2B5EF4-FFF2-40B4-BE49-F238E27FC236}">
              <a16:creationId xmlns:a16="http://schemas.microsoft.com/office/drawing/2014/main" id="{95F4A192-491E-485A-B8A1-C38B2E030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55086</xdr:colOff>
      <xdr:row>9</xdr:row>
      <xdr:rowOff>110168</xdr:rowOff>
    </xdr:from>
    <xdr:to>
      <xdr:col>18</xdr:col>
      <xdr:colOff>1</xdr:colOff>
      <xdr:row>30</xdr:row>
      <xdr:rowOff>9179</xdr:rowOff>
    </xdr:to>
    <xdr:sp macro="" textlink="">
      <xdr:nvSpPr>
        <xdr:cNvPr id="12" name="Rectangle 11">
          <a:extLst>
            <a:ext uri="{FF2B5EF4-FFF2-40B4-BE49-F238E27FC236}">
              <a16:creationId xmlns:a16="http://schemas.microsoft.com/office/drawing/2014/main" id="{DEBD1DAE-263E-AD23-5067-50947A462196}"/>
            </a:ext>
          </a:extLst>
        </xdr:cNvPr>
        <xdr:cNvSpPr/>
      </xdr:nvSpPr>
      <xdr:spPr>
        <a:xfrm>
          <a:off x="7932146" y="1762698"/>
          <a:ext cx="2974554" cy="375491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73448</xdr:colOff>
      <xdr:row>9</xdr:row>
      <xdr:rowOff>110169</xdr:rowOff>
    </xdr:from>
    <xdr:to>
      <xdr:col>23</xdr:col>
      <xdr:colOff>36724</xdr:colOff>
      <xdr:row>30</xdr:row>
      <xdr:rowOff>9180</xdr:rowOff>
    </xdr:to>
    <xdr:sp macro="" textlink="">
      <xdr:nvSpPr>
        <xdr:cNvPr id="13" name="Rectangle 12">
          <a:extLst>
            <a:ext uri="{FF2B5EF4-FFF2-40B4-BE49-F238E27FC236}">
              <a16:creationId xmlns:a16="http://schemas.microsoft.com/office/drawing/2014/main" id="{B56F64EF-C534-DF8C-60FB-B47082A1A491}"/>
            </a:ext>
          </a:extLst>
        </xdr:cNvPr>
        <xdr:cNvSpPr/>
      </xdr:nvSpPr>
      <xdr:spPr>
        <a:xfrm>
          <a:off x="10980147" y="1762699"/>
          <a:ext cx="2992914" cy="375491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91810</xdr:colOff>
      <xdr:row>11</xdr:row>
      <xdr:rowOff>36724</xdr:rowOff>
    </xdr:from>
    <xdr:to>
      <xdr:col>17</xdr:col>
      <xdr:colOff>578386</xdr:colOff>
      <xdr:row>29</xdr:row>
      <xdr:rowOff>165253</xdr:rowOff>
    </xdr:to>
    <xdr:graphicFrame macro="">
      <xdr:nvGraphicFramePr>
        <xdr:cNvPr id="14" name="Chart 13">
          <a:extLst>
            <a:ext uri="{FF2B5EF4-FFF2-40B4-BE49-F238E27FC236}">
              <a16:creationId xmlns:a16="http://schemas.microsoft.com/office/drawing/2014/main" id="{7809D506-7A2D-49C7-BF1E-19B52634B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137714</xdr:colOff>
      <xdr:row>10</xdr:row>
      <xdr:rowOff>73448</xdr:rowOff>
    </xdr:from>
    <xdr:to>
      <xdr:col>22</xdr:col>
      <xdr:colOff>587567</xdr:colOff>
      <xdr:row>29</xdr:row>
      <xdr:rowOff>128533</xdr:rowOff>
    </xdr:to>
    <xdr:graphicFrame macro="">
      <xdr:nvGraphicFramePr>
        <xdr:cNvPr id="15" name="Chart 14">
          <a:extLst>
            <a:ext uri="{FF2B5EF4-FFF2-40B4-BE49-F238E27FC236}">
              <a16:creationId xmlns:a16="http://schemas.microsoft.com/office/drawing/2014/main" id="{17871583-4A3C-4DB7-817F-2C6491A8A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167640</xdr:colOff>
      <xdr:row>5</xdr:row>
      <xdr:rowOff>13621</xdr:rowOff>
    </xdr:from>
    <xdr:to>
      <xdr:col>3</xdr:col>
      <xdr:colOff>45720</xdr:colOff>
      <xdr:row>9</xdr:row>
      <xdr:rowOff>166021</xdr:rowOff>
    </xdr:to>
    <xdr:sp macro="" textlink="">
      <xdr:nvSpPr>
        <xdr:cNvPr id="16" name="Rectangle: Rounded Corners 15">
          <a:extLst>
            <a:ext uri="{FF2B5EF4-FFF2-40B4-BE49-F238E27FC236}">
              <a16:creationId xmlns:a16="http://schemas.microsoft.com/office/drawing/2014/main" id="{05D7B56F-0306-6F91-8452-147EE5B9C410}"/>
            </a:ext>
          </a:extLst>
        </xdr:cNvPr>
        <xdr:cNvSpPr/>
      </xdr:nvSpPr>
      <xdr:spPr>
        <a:xfrm>
          <a:off x="167640" y="937257"/>
          <a:ext cx="1702262" cy="89130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297180</xdr:colOff>
      <xdr:row>5</xdr:row>
      <xdr:rowOff>120301</xdr:rowOff>
    </xdr:from>
    <xdr:to>
      <xdr:col>2</xdr:col>
      <xdr:colOff>525780</xdr:colOff>
      <xdr:row>7</xdr:row>
      <xdr:rowOff>59341</xdr:rowOff>
    </xdr:to>
    <xdr:sp macro="" textlink="">
      <xdr:nvSpPr>
        <xdr:cNvPr id="17" name="Rectangle: Rounded Corners 16">
          <a:extLst>
            <a:ext uri="{FF2B5EF4-FFF2-40B4-BE49-F238E27FC236}">
              <a16:creationId xmlns:a16="http://schemas.microsoft.com/office/drawing/2014/main" id="{5F3B3E2E-4EE7-EED2-B62C-DDF2139A1441}"/>
            </a:ext>
          </a:extLst>
        </xdr:cNvPr>
        <xdr:cNvSpPr/>
      </xdr:nvSpPr>
      <xdr:spPr>
        <a:xfrm>
          <a:off x="297180" y="1043937"/>
          <a:ext cx="1444721" cy="30849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latin typeface="Times New Roman" panose="02020603050405020304" pitchFamily="18" charset="0"/>
              <a:cs typeface="Times New Roman" panose="02020603050405020304" pitchFamily="18" charset="0"/>
            </a:rPr>
            <a:t>TOTAL</a:t>
          </a:r>
          <a:r>
            <a:rPr lang="en-IN" sz="1400" b="1" baseline="0">
              <a:solidFill>
                <a:srgbClr val="FF0000"/>
              </a:solidFill>
              <a:latin typeface="Times New Roman" panose="02020603050405020304" pitchFamily="18" charset="0"/>
              <a:cs typeface="Times New Roman" panose="02020603050405020304" pitchFamily="18" charset="0"/>
            </a:rPr>
            <a:t> SALES</a:t>
          </a:r>
          <a:endParaRPr lang="en-IN" sz="14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304800</xdr:colOff>
      <xdr:row>7</xdr:row>
      <xdr:rowOff>112681</xdr:rowOff>
    </xdr:from>
    <xdr:to>
      <xdr:col>2</xdr:col>
      <xdr:colOff>533400</xdr:colOff>
      <xdr:row>9</xdr:row>
      <xdr:rowOff>51721</xdr:rowOff>
    </xdr:to>
    <xdr:sp macro="" textlink="PIVOT_TABLE!C60">
      <xdr:nvSpPr>
        <xdr:cNvPr id="18" name="Rectangle: Rounded Corners 17">
          <a:extLst>
            <a:ext uri="{FF2B5EF4-FFF2-40B4-BE49-F238E27FC236}">
              <a16:creationId xmlns:a16="http://schemas.microsoft.com/office/drawing/2014/main" id="{A229A937-93B8-D836-FABE-F057BDC36348}"/>
            </a:ext>
          </a:extLst>
        </xdr:cNvPr>
        <xdr:cNvSpPr/>
      </xdr:nvSpPr>
      <xdr:spPr>
        <a:xfrm>
          <a:off x="304800" y="1405772"/>
          <a:ext cx="1444721" cy="3084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867008-6829-4AF3-9AB6-1283C0E9646D}" type="TxLink">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8,58,424</a:t>
          </a:fld>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166100</xdr:colOff>
      <xdr:row>11</xdr:row>
      <xdr:rowOff>61341</xdr:rowOff>
    </xdr:from>
    <xdr:to>
      <xdr:col>3</xdr:col>
      <xdr:colOff>44180</xdr:colOff>
      <xdr:row>16</xdr:row>
      <xdr:rowOff>29014</xdr:rowOff>
    </xdr:to>
    <xdr:sp macro="" textlink="">
      <xdr:nvSpPr>
        <xdr:cNvPr id="19" name="Rectangle: Rounded Corners 18">
          <a:extLst>
            <a:ext uri="{FF2B5EF4-FFF2-40B4-BE49-F238E27FC236}">
              <a16:creationId xmlns:a16="http://schemas.microsoft.com/office/drawing/2014/main" id="{F9152396-6C6D-7433-F7B9-2B981316309E}"/>
            </a:ext>
          </a:extLst>
        </xdr:cNvPr>
        <xdr:cNvSpPr/>
      </xdr:nvSpPr>
      <xdr:spPr>
        <a:xfrm>
          <a:off x="166100" y="2093341"/>
          <a:ext cx="1702262" cy="89130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15601</xdr:colOff>
      <xdr:row>11</xdr:row>
      <xdr:rowOff>168021</xdr:rowOff>
    </xdr:from>
    <xdr:to>
      <xdr:col>3</xdr:col>
      <xdr:colOff>169659</xdr:colOff>
      <xdr:row>13</xdr:row>
      <xdr:rowOff>107061</xdr:rowOff>
    </xdr:to>
    <xdr:sp macro="" textlink="">
      <xdr:nvSpPr>
        <xdr:cNvPr id="20" name="Rectangle: Rounded Corners 19">
          <a:extLst>
            <a:ext uri="{FF2B5EF4-FFF2-40B4-BE49-F238E27FC236}">
              <a16:creationId xmlns:a16="http://schemas.microsoft.com/office/drawing/2014/main" id="{FF534F43-12CC-E731-A0AA-194F55758990}"/>
            </a:ext>
          </a:extLst>
        </xdr:cNvPr>
        <xdr:cNvSpPr/>
      </xdr:nvSpPr>
      <xdr:spPr>
        <a:xfrm>
          <a:off x="15601" y="2200021"/>
          <a:ext cx="1978240" cy="30849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FF0000"/>
              </a:solidFill>
              <a:latin typeface="Times New Roman" panose="02020603050405020304" pitchFamily="18" charset="0"/>
              <a:cs typeface="Times New Roman" panose="02020603050405020304" pitchFamily="18" charset="0"/>
            </a:rPr>
            <a:t>CA</a:t>
          </a:r>
          <a:r>
            <a:rPr lang="en-IN" sz="1100" b="1" baseline="0">
              <a:solidFill>
                <a:srgbClr val="FF0000"/>
              </a:solidFill>
              <a:latin typeface="Times New Roman" panose="02020603050405020304" pitchFamily="18" charset="0"/>
              <a:cs typeface="Times New Roman" panose="02020603050405020304" pitchFamily="18" charset="0"/>
            </a:rPr>
            <a:t>NCELLATION RATE</a:t>
          </a:r>
          <a:endParaRPr lang="en-IN" sz="11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318654</xdr:colOff>
      <xdr:row>13</xdr:row>
      <xdr:rowOff>98825</xdr:rowOff>
    </xdr:from>
    <xdr:to>
      <xdr:col>2</xdr:col>
      <xdr:colOff>547254</xdr:colOff>
      <xdr:row>15</xdr:row>
      <xdr:rowOff>37865</xdr:rowOff>
    </xdr:to>
    <xdr:sp macro="" textlink="PIVOT_TABLE!J90">
      <xdr:nvSpPr>
        <xdr:cNvPr id="21" name="Rectangle: Rounded Corners 20">
          <a:extLst>
            <a:ext uri="{FF2B5EF4-FFF2-40B4-BE49-F238E27FC236}">
              <a16:creationId xmlns:a16="http://schemas.microsoft.com/office/drawing/2014/main" id="{F4C7576C-E4EB-E5F6-8E6D-E3695C08AD67}"/>
            </a:ext>
          </a:extLst>
        </xdr:cNvPr>
        <xdr:cNvSpPr/>
      </xdr:nvSpPr>
      <xdr:spPr>
        <a:xfrm>
          <a:off x="318654" y="2500280"/>
          <a:ext cx="1447800" cy="30849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044B48D-B7B6-4B24-84AF-302C3437526C}" type="TxLink">
            <a:rPr kumimoji="0" lang="en-US" sz="1800" b="1" i="0" u="none" strike="noStrike" kern="0" cap="none" spc="0" normalizeH="0" baseline="0" noProof="0">
              <a:ln>
                <a:noFill/>
              </a:ln>
              <a:solidFill>
                <a:srgbClr val="000000"/>
              </a:solidFill>
              <a:effectLst/>
              <a:uLnTx/>
              <a:uFillTx/>
              <a:latin typeface="Times New Roman" panose="02020603050405020304" pitchFamily="18" charset="0"/>
              <a:ea typeface="Calibri"/>
              <a:cs typeface="Times New Roman" panose="02020603050405020304" pitchFamily="18" charset="0"/>
            </a:rPr>
            <a:t> </a:t>
          </a:fld>
          <a:endParaRPr lang="en-IN" sz="1800" b="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181494</xdr:colOff>
      <xdr:row>17</xdr:row>
      <xdr:rowOff>176800</xdr:rowOff>
    </xdr:from>
    <xdr:to>
      <xdr:col>3</xdr:col>
      <xdr:colOff>59574</xdr:colOff>
      <xdr:row>22</xdr:row>
      <xdr:rowOff>144473</xdr:rowOff>
    </xdr:to>
    <xdr:sp macro="" textlink="">
      <xdr:nvSpPr>
        <xdr:cNvPr id="22" name="Rectangle: Rounded Corners 21">
          <a:extLst>
            <a:ext uri="{FF2B5EF4-FFF2-40B4-BE49-F238E27FC236}">
              <a16:creationId xmlns:a16="http://schemas.microsoft.com/office/drawing/2014/main" id="{3B8260DE-0681-89E4-304A-8A7A6C930BAB}"/>
            </a:ext>
          </a:extLst>
        </xdr:cNvPr>
        <xdr:cNvSpPr/>
      </xdr:nvSpPr>
      <xdr:spPr>
        <a:xfrm>
          <a:off x="181494" y="3317164"/>
          <a:ext cx="1702262" cy="89130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582</xdr:colOff>
      <xdr:row>18</xdr:row>
      <xdr:rowOff>98753</xdr:rowOff>
    </xdr:from>
    <xdr:to>
      <xdr:col>3</xdr:col>
      <xdr:colOff>198120</xdr:colOff>
      <xdr:row>20</xdr:row>
      <xdr:rowOff>37794</xdr:rowOff>
    </xdr:to>
    <xdr:sp macro="" textlink="">
      <xdr:nvSpPr>
        <xdr:cNvPr id="23" name="Rectangle: Rounded Corners 22">
          <a:extLst>
            <a:ext uri="{FF2B5EF4-FFF2-40B4-BE49-F238E27FC236}">
              <a16:creationId xmlns:a16="http://schemas.microsoft.com/office/drawing/2014/main" id="{DDAFA98D-7B57-57ED-5179-CE794887AF81}"/>
            </a:ext>
          </a:extLst>
        </xdr:cNvPr>
        <xdr:cNvSpPr/>
      </xdr:nvSpPr>
      <xdr:spPr>
        <a:xfrm>
          <a:off x="582" y="3423844"/>
          <a:ext cx="2021720" cy="30849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rgbClr val="FF0000"/>
              </a:solidFill>
              <a:latin typeface="Times New Roman" panose="02020603050405020304" pitchFamily="18" charset="0"/>
              <a:cs typeface="Times New Roman" panose="02020603050405020304" pitchFamily="18" charset="0"/>
            </a:rPr>
            <a:t>TOTAL</a:t>
          </a:r>
          <a:r>
            <a:rPr lang="en-IN" sz="1200" b="1" baseline="0">
              <a:solidFill>
                <a:srgbClr val="FF0000"/>
              </a:solidFill>
              <a:latin typeface="Times New Roman" panose="02020603050405020304" pitchFamily="18" charset="0"/>
              <a:cs typeface="Times New Roman" panose="02020603050405020304" pitchFamily="18" charset="0"/>
            </a:rPr>
            <a:t> CUSTOMERS</a:t>
          </a:r>
          <a:endParaRPr lang="en-IN" sz="12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302869</xdr:colOff>
      <xdr:row>20</xdr:row>
      <xdr:rowOff>67185</xdr:rowOff>
    </xdr:from>
    <xdr:to>
      <xdr:col>2</xdr:col>
      <xdr:colOff>531469</xdr:colOff>
      <xdr:row>22</xdr:row>
      <xdr:rowOff>4378</xdr:rowOff>
    </xdr:to>
    <xdr:sp macro="" textlink="PIVOT_TABLE!K69">
      <xdr:nvSpPr>
        <xdr:cNvPr id="24" name="Rectangle: Rounded Corners 23">
          <a:extLst>
            <a:ext uri="{FF2B5EF4-FFF2-40B4-BE49-F238E27FC236}">
              <a16:creationId xmlns:a16="http://schemas.microsoft.com/office/drawing/2014/main" id="{A1953177-C624-C5D3-1DC4-B08388F336B1}"/>
            </a:ext>
          </a:extLst>
        </xdr:cNvPr>
        <xdr:cNvSpPr/>
      </xdr:nvSpPr>
      <xdr:spPr>
        <a:xfrm>
          <a:off x="302869" y="3761730"/>
          <a:ext cx="1444721" cy="30664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EB80FA-17D2-4EF0-8160-74BED02A6919}" type="TxLink">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300</a:t>
          </a:fld>
          <a:endParaRPr lang="en-IN" sz="3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176876</xdr:colOff>
      <xdr:row>24</xdr:row>
      <xdr:rowOff>79815</xdr:rowOff>
    </xdr:from>
    <xdr:to>
      <xdr:col>3</xdr:col>
      <xdr:colOff>54956</xdr:colOff>
      <xdr:row>29</xdr:row>
      <xdr:rowOff>47488</xdr:rowOff>
    </xdr:to>
    <xdr:sp macro="" textlink="">
      <xdr:nvSpPr>
        <xdr:cNvPr id="25" name="Rectangle: Rounded Corners 24">
          <a:extLst>
            <a:ext uri="{FF2B5EF4-FFF2-40B4-BE49-F238E27FC236}">
              <a16:creationId xmlns:a16="http://schemas.microsoft.com/office/drawing/2014/main" id="{0C554439-2F3A-4D65-8F72-5DEEAE397172}"/>
            </a:ext>
          </a:extLst>
        </xdr:cNvPr>
        <xdr:cNvSpPr/>
      </xdr:nvSpPr>
      <xdr:spPr>
        <a:xfrm>
          <a:off x="176876" y="4513270"/>
          <a:ext cx="1702262" cy="89130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192113</xdr:colOff>
      <xdr:row>24</xdr:row>
      <xdr:rowOff>181052</xdr:rowOff>
    </xdr:from>
    <xdr:to>
      <xdr:col>2</xdr:col>
      <xdr:colOff>604154</xdr:colOff>
      <xdr:row>26</xdr:row>
      <xdr:rowOff>120093</xdr:rowOff>
    </xdr:to>
    <xdr:sp macro="" textlink="">
      <xdr:nvSpPr>
        <xdr:cNvPr id="26" name="Rectangle: Rounded Corners 25">
          <a:extLst>
            <a:ext uri="{FF2B5EF4-FFF2-40B4-BE49-F238E27FC236}">
              <a16:creationId xmlns:a16="http://schemas.microsoft.com/office/drawing/2014/main" id="{61694D0C-DAF0-2B03-7A64-8412C8D868C8}"/>
            </a:ext>
          </a:extLst>
        </xdr:cNvPr>
        <xdr:cNvSpPr/>
      </xdr:nvSpPr>
      <xdr:spPr>
        <a:xfrm>
          <a:off x="192113" y="4614507"/>
          <a:ext cx="1628162" cy="30849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FF0000"/>
              </a:solidFill>
              <a:latin typeface="Times New Roman" panose="02020603050405020304" pitchFamily="18" charset="0"/>
              <a:cs typeface="Times New Roman" panose="02020603050405020304" pitchFamily="18" charset="0"/>
            </a:rPr>
            <a:t>TOTAL</a:t>
          </a:r>
          <a:r>
            <a:rPr lang="en-IN" sz="1100" b="1" baseline="0">
              <a:solidFill>
                <a:srgbClr val="FF0000"/>
              </a:solidFill>
              <a:latin typeface="Times New Roman" panose="02020603050405020304" pitchFamily="18" charset="0"/>
              <a:cs typeface="Times New Roman" panose="02020603050405020304" pitchFamily="18" charset="0"/>
            </a:rPr>
            <a:t>_UNITS SOLD</a:t>
          </a:r>
          <a:endParaRPr lang="en-IN" sz="11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314036</xdr:colOff>
      <xdr:row>26</xdr:row>
      <xdr:rowOff>178876</xdr:rowOff>
    </xdr:from>
    <xdr:to>
      <xdr:col>2</xdr:col>
      <xdr:colOff>542636</xdr:colOff>
      <xdr:row>28</xdr:row>
      <xdr:rowOff>117915</xdr:rowOff>
    </xdr:to>
    <xdr:sp macro="" textlink="PIVOT_TABLE!D93">
      <xdr:nvSpPr>
        <xdr:cNvPr id="27" name="Rectangle: Rounded Corners 26">
          <a:extLst>
            <a:ext uri="{FF2B5EF4-FFF2-40B4-BE49-F238E27FC236}">
              <a16:creationId xmlns:a16="http://schemas.microsoft.com/office/drawing/2014/main" id="{48B0D524-CA37-3887-FC7F-F4F41A75511A}"/>
            </a:ext>
          </a:extLst>
        </xdr:cNvPr>
        <xdr:cNvSpPr/>
      </xdr:nvSpPr>
      <xdr:spPr>
        <a:xfrm>
          <a:off x="314036" y="4981785"/>
          <a:ext cx="1444721" cy="308494"/>
        </a:xfrm>
        <a:prstGeom prst="round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6C39DF-18EB-4C9E-B10D-3EAA21C8E3A6}" type="TxLink">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429</a:t>
          </a:fld>
          <a:endParaRPr lang="en-IN" sz="20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247349</xdr:colOff>
      <xdr:row>13</xdr:row>
      <xdr:rowOff>88802</xdr:rowOff>
    </xdr:from>
    <xdr:to>
      <xdr:col>2</xdr:col>
      <xdr:colOff>475949</xdr:colOff>
      <xdr:row>15</xdr:row>
      <xdr:rowOff>27842</xdr:rowOff>
    </xdr:to>
    <xdr:sp macro="" textlink="PIVOT_TABLE!F72">
      <xdr:nvSpPr>
        <xdr:cNvPr id="30" name="Rectangle: Rounded Corners 29">
          <a:extLst>
            <a:ext uri="{FF2B5EF4-FFF2-40B4-BE49-F238E27FC236}">
              <a16:creationId xmlns:a16="http://schemas.microsoft.com/office/drawing/2014/main" id="{99971292-EA93-5A7F-CE2B-6F7A91B892CB}"/>
            </a:ext>
          </a:extLst>
        </xdr:cNvPr>
        <xdr:cNvSpPr/>
      </xdr:nvSpPr>
      <xdr:spPr>
        <a:xfrm>
          <a:off x="247349" y="2494545"/>
          <a:ext cx="1447800" cy="3091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E4ADB9-3064-4A98-9573-78B982223A2D}" type="TxLink">
            <a:rPr lang="en-US" sz="1600" b="1" i="0" u="none" strike="noStrike" baseline="0">
              <a:solidFill>
                <a:srgbClr val="000000"/>
              </a:solidFill>
              <a:latin typeface="Times New Roman" panose="02020603050405020304" pitchFamily="18" charset="0"/>
              <a:ea typeface="Calibri"/>
              <a:cs typeface="Times New Roman" panose="02020603050405020304" pitchFamily="18" charset="0"/>
            </a:rPr>
            <a:t> </a:t>
          </a:fld>
          <a:endParaRPr lang="en-US" sz="2400" b="1" i="0" u="none" strike="noStrike" baseline="0">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254817</xdr:colOff>
      <xdr:row>13</xdr:row>
      <xdr:rowOff>118809</xdr:rowOff>
    </xdr:from>
    <xdr:to>
      <xdr:col>2</xdr:col>
      <xdr:colOff>483417</xdr:colOff>
      <xdr:row>15</xdr:row>
      <xdr:rowOff>56002</xdr:rowOff>
    </xdr:to>
    <xdr:sp macro="" textlink="PIVOT_TABLE!F80">
      <xdr:nvSpPr>
        <xdr:cNvPr id="37" name="Rectangle: Rounded Corners 36">
          <a:extLst>
            <a:ext uri="{FF2B5EF4-FFF2-40B4-BE49-F238E27FC236}">
              <a16:creationId xmlns:a16="http://schemas.microsoft.com/office/drawing/2014/main" id="{466A25B1-5E0A-6464-63D0-E2F511CB06EB}"/>
            </a:ext>
          </a:extLst>
        </xdr:cNvPr>
        <xdr:cNvSpPr/>
      </xdr:nvSpPr>
      <xdr:spPr>
        <a:xfrm>
          <a:off x="254817" y="2520264"/>
          <a:ext cx="1444721" cy="3066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010A24-6CED-4F73-8449-4D99E6019263}" type="TxLink">
            <a:rPr lang="en-US" sz="1600" b="1" i="0" u="none" strike="noStrike">
              <a:solidFill>
                <a:srgbClr val="000000"/>
              </a:solidFill>
              <a:latin typeface="Calibri"/>
              <a:ea typeface="Calibri"/>
              <a:cs typeface="Calibri"/>
            </a:rPr>
            <a:t>12.67%</a:t>
          </a:fld>
          <a:endParaRPr lang="en-IN" sz="32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192424</xdr:colOff>
      <xdr:row>0</xdr:row>
      <xdr:rowOff>115455</xdr:rowOff>
    </xdr:from>
    <xdr:to>
      <xdr:col>3</xdr:col>
      <xdr:colOff>84666</xdr:colOff>
      <xdr:row>4</xdr:row>
      <xdr:rowOff>30788</xdr:rowOff>
    </xdr:to>
    <xdr:sp macro="" textlink="">
      <xdr:nvSpPr>
        <xdr:cNvPr id="38" name="Rectangle: Rounded Corners 37">
          <a:extLst>
            <a:ext uri="{FF2B5EF4-FFF2-40B4-BE49-F238E27FC236}">
              <a16:creationId xmlns:a16="http://schemas.microsoft.com/office/drawing/2014/main" id="{9FEF1CEA-5D51-21CE-8DE1-E586A54180FF}"/>
            </a:ext>
          </a:extLst>
        </xdr:cNvPr>
        <xdr:cNvSpPr/>
      </xdr:nvSpPr>
      <xdr:spPr>
        <a:xfrm>
          <a:off x="192424" y="115455"/>
          <a:ext cx="1716424" cy="6542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bg1"/>
              </a:solidFill>
              <a:latin typeface="Times New Roman" panose="02020603050405020304" pitchFamily="18" charset="0"/>
              <a:cs typeface="Times New Roman" panose="02020603050405020304" pitchFamily="18" charset="0"/>
            </a:rPr>
            <a:t>SALES</a:t>
          </a:r>
        </a:p>
        <a:p>
          <a:pPr algn="ctr"/>
          <a:r>
            <a:rPr lang="en-IN" sz="1600" b="1" baseline="0">
              <a:solidFill>
                <a:schemeClr val="bg1"/>
              </a:solidFill>
              <a:latin typeface="Times New Roman" panose="02020603050405020304" pitchFamily="18" charset="0"/>
              <a:cs typeface="Times New Roman" panose="02020603050405020304" pitchFamily="18" charset="0"/>
            </a:rPr>
            <a:t> DASHBOARD</a:t>
          </a:r>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487680</xdr:colOff>
      <xdr:row>2</xdr:row>
      <xdr:rowOff>0</xdr:rowOff>
    </xdr:from>
    <xdr:to>
      <xdr:col>9</xdr:col>
      <xdr:colOff>21521</xdr:colOff>
      <xdr:row>7</xdr:row>
      <xdr:rowOff>7620</xdr:rowOff>
    </xdr:to>
    <mc:AlternateContent xmlns:mc="http://schemas.openxmlformats.org/markup-compatibility/2006" xmlns:tsle="http://schemas.microsoft.com/office/drawing/2012/timeslicer">
      <mc:Choice Requires="tsle">
        <xdr:graphicFrame macro="">
          <xdr:nvGraphicFramePr>
            <xdr:cNvPr id="3" name="orders.order_date">
              <a:extLst>
                <a:ext uri="{FF2B5EF4-FFF2-40B4-BE49-F238E27FC236}">
                  <a16:creationId xmlns:a16="http://schemas.microsoft.com/office/drawing/2014/main" id="{40F19EEB-D930-9724-5645-D5965B143AFE}"/>
                </a:ext>
              </a:extLst>
            </xdr:cNvPr>
            <xdr:cNvGraphicFramePr/>
          </xdr:nvGraphicFramePr>
          <xdr:xfrm>
            <a:off x="0" y="0"/>
            <a:ext cx="0" cy="0"/>
          </xdr:xfrm>
          <a:graphic>
            <a:graphicData uri="http://schemas.microsoft.com/office/drawing/2012/timeslicer">
              <tsle:timeslicer name="orders.order_date"/>
            </a:graphicData>
          </a:graphic>
        </xdr:graphicFrame>
      </mc:Choice>
      <mc:Fallback xmlns="">
        <xdr:sp macro="" textlink="">
          <xdr:nvSpPr>
            <xdr:cNvPr id="0" name=""/>
            <xdr:cNvSpPr>
              <a:spLocks noTextEdit="1"/>
            </xdr:cNvSpPr>
          </xdr:nvSpPr>
          <xdr:spPr>
            <a:xfrm>
              <a:off x="3527306" y="368440"/>
              <a:ext cx="5754607" cy="92871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281940</xdr:colOff>
      <xdr:row>0</xdr:row>
      <xdr:rowOff>114301</xdr:rowOff>
    </xdr:from>
    <xdr:to>
      <xdr:col>22</xdr:col>
      <xdr:colOff>236220</xdr:colOff>
      <xdr:row>4</xdr:row>
      <xdr:rowOff>53340</xdr:rowOff>
    </xdr:to>
    <mc:AlternateContent xmlns:mc="http://schemas.openxmlformats.org/markup-compatibility/2006" xmlns:a14="http://schemas.microsoft.com/office/drawing/2010/main">
      <mc:Choice Requires="a14">
        <xdr:graphicFrame macro="">
          <xdr:nvGraphicFramePr>
            <xdr:cNvPr id="4" name="products.category">
              <a:extLst>
                <a:ext uri="{FF2B5EF4-FFF2-40B4-BE49-F238E27FC236}">
                  <a16:creationId xmlns:a16="http://schemas.microsoft.com/office/drawing/2014/main" id="{8EE6F367-072C-B733-60EF-36CE34D11D1C}"/>
                </a:ext>
              </a:extLst>
            </xdr:cNvPr>
            <xdr:cNvGraphicFramePr/>
          </xdr:nvGraphicFramePr>
          <xdr:xfrm>
            <a:off x="0" y="0"/>
            <a:ext cx="0" cy="0"/>
          </xdr:xfrm>
          <a:graphic>
            <a:graphicData uri="http://schemas.microsoft.com/office/drawing/2010/slicer">
              <sle:slicer xmlns:sle="http://schemas.microsoft.com/office/drawing/2010/slicer" name="products.category"/>
            </a:graphicData>
          </a:graphic>
        </xdr:graphicFrame>
      </mc:Choice>
      <mc:Fallback xmlns="">
        <xdr:sp macro="" textlink="">
          <xdr:nvSpPr>
            <xdr:cNvPr id="0" name=""/>
            <xdr:cNvSpPr>
              <a:spLocks noTextEdit="1"/>
            </xdr:cNvSpPr>
          </xdr:nvSpPr>
          <xdr:spPr>
            <a:xfrm>
              <a:off x="9434314" y="114301"/>
              <a:ext cx="5455753" cy="675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441960</xdr:colOff>
      <xdr:row>8</xdr:row>
      <xdr:rowOff>137161</xdr:rowOff>
    </xdr:from>
    <xdr:to>
      <xdr:col>8</xdr:col>
      <xdr:colOff>502226</xdr:colOff>
      <xdr:row>13</xdr:row>
      <xdr:rowOff>175261</xdr:rowOff>
    </xdr:to>
    <mc:AlternateContent xmlns:mc="http://schemas.openxmlformats.org/markup-compatibility/2006" xmlns:a14="http://schemas.microsoft.com/office/drawing/2010/main">
      <mc:Choice Requires="a14">
        <xdr:graphicFrame macro="">
          <xdr:nvGraphicFramePr>
            <xdr:cNvPr id="5" name="customers.city">
              <a:extLst>
                <a:ext uri="{FF2B5EF4-FFF2-40B4-BE49-F238E27FC236}">
                  <a16:creationId xmlns:a16="http://schemas.microsoft.com/office/drawing/2014/main" id="{B592C9BE-7DDE-4630-F6BF-69C9FF15A589}"/>
                </a:ext>
              </a:extLst>
            </xdr:cNvPr>
            <xdr:cNvGraphicFramePr/>
          </xdr:nvGraphicFramePr>
          <xdr:xfrm>
            <a:off x="0" y="0"/>
            <a:ext cx="0" cy="0"/>
          </xdr:xfrm>
          <a:graphic>
            <a:graphicData uri="http://schemas.microsoft.com/office/drawing/2010/slicer">
              <sle:slicer xmlns:sle="http://schemas.microsoft.com/office/drawing/2010/slicer" name="customers.city"/>
            </a:graphicData>
          </a:graphic>
        </xdr:graphicFrame>
      </mc:Choice>
      <mc:Fallback xmlns="">
        <xdr:sp macro="" textlink="">
          <xdr:nvSpPr>
            <xdr:cNvPr id="0" name=""/>
            <xdr:cNvSpPr>
              <a:spLocks noTextEdit="1"/>
            </xdr:cNvSpPr>
          </xdr:nvSpPr>
          <xdr:spPr>
            <a:xfrm>
              <a:off x="3481586" y="1610919"/>
              <a:ext cx="5671432" cy="95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251460</xdr:colOff>
      <xdr:row>5</xdr:row>
      <xdr:rowOff>53341</xdr:rowOff>
    </xdr:from>
    <xdr:to>
      <xdr:col>22</xdr:col>
      <xdr:colOff>320040</xdr:colOff>
      <xdr:row>8</xdr:row>
      <xdr:rowOff>167641</xdr:rowOff>
    </xdr:to>
    <mc:AlternateContent xmlns:mc="http://schemas.openxmlformats.org/markup-compatibility/2006" xmlns:a14="http://schemas.microsoft.com/office/drawing/2010/main">
      <mc:Choice Requires="a14">
        <xdr:graphicFrame macro="">
          <xdr:nvGraphicFramePr>
            <xdr:cNvPr id="6" name="orders.order_status">
              <a:extLst>
                <a:ext uri="{FF2B5EF4-FFF2-40B4-BE49-F238E27FC236}">
                  <a16:creationId xmlns:a16="http://schemas.microsoft.com/office/drawing/2014/main" id="{46414A40-C1C0-E32D-2526-1E645FAD1520}"/>
                </a:ext>
              </a:extLst>
            </xdr:cNvPr>
            <xdr:cNvGraphicFramePr/>
          </xdr:nvGraphicFramePr>
          <xdr:xfrm>
            <a:off x="0" y="0"/>
            <a:ext cx="0" cy="0"/>
          </xdr:xfrm>
          <a:graphic>
            <a:graphicData uri="http://schemas.microsoft.com/office/drawing/2010/slicer">
              <sle:slicer xmlns:sle="http://schemas.microsoft.com/office/drawing/2010/slicer" name="orders.order_status"/>
            </a:graphicData>
          </a:graphic>
        </xdr:graphicFrame>
      </mc:Choice>
      <mc:Fallback xmlns="">
        <xdr:sp macro="" textlink="">
          <xdr:nvSpPr>
            <xdr:cNvPr id="0" name=""/>
            <xdr:cNvSpPr>
              <a:spLocks noTextEdit="1"/>
            </xdr:cNvSpPr>
          </xdr:nvSpPr>
          <xdr:spPr>
            <a:xfrm>
              <a:off x="9403834" y="974440"/>
              <a:ext cx="5570053" cy="666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205740</xdr:colOff>
      <xdr:row>14</xdr:row>
      <xdr:rowOff>156210</xdr:rowOff>
    </xdr:from>
    <xdr:to>
      <xdr:col>10</xdr:col>
      <xdr:colOff>502920</xdr:colOff>
      <xdr:row>24</xdr:row>
      <xdr:rowOff>22860</xdr:rowOff>
    </xdr:to>
    <xdr:graphicFrame macro="">
      <xdr:nvGraphicFramePr>
        <xdr:cNvPr id="7" name="Chart 6">
          <a:extLst>
            <a:ext uri="{FF2B5EF4-FFF2-40B4-BE49-F238E27FC236}">
              <a16:creationId xmlns:a16="http://schemas.microsoft.com/office/drawing/2014/main" id="{C19FE7EF-54F6-B3C8-260B-67B295E42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24</xdr:row>
      <xdr:rowOff>41910</xdr:rowOff>
    </xdr:from>
    <xdr:to>
      <xdr:col>10</xdr:col>
      <xdr:colOff>487680</xdr:colOff>
      <xdr:row>33</xdr:row>
      <xdr:rowOff>60960</xdr:rowOff>
    </xdr:to>
    <xdr:graphicFrame macro="">
      <xdr:nvGraphicFramePr>
        <xdr:cNvPr id="8" name="Chart 7">
          <a:extLst>
            <a:ext uri="{FF2B5EF4-FFF2-40B4-BE49-F238E27FC236}">
              <a16:creationId xmlns:a16="http://schemas.microsoft.com/office/drawing/2014/main" id="{68C8F91E-2B47-E571-D996-B13377678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358140</xdr:colOff>
      <xdr:row>37</xdr:row>
      <xdr:rowOff>64770</xdr:rowOff>
    </xdr:from>
    <xdr:to>
      <xdr:col>8</xdr:col>
      <xdr:colOff>411480</xdr:colOff>
      <xdr:row>48</xdr:row>
      <xdr:rowOff>91440</xdr:rowOff>
    </xdr:to>
    <xdr:graphicFrame macro="">
      <xdr:nvGraphicFramePr>
        <xdr:cNvPr id="9" name="Chart 8">
          <a:extLst>
            <a:ext uri="{FF2B5EF4-FFF2-40B4-BE49-F238E27FC236}">
              <a16:creationId xmlns:a16="http://schemas.microsoft.com/office/drawing/2014/main" id="{7DF55502-35AB-9298-F2C5-079F06A55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226088</xdr:colOff>
      <xdr:row>40</xdr:row>
      <xdr:rowOff>77038</xdr:rowOff>
    </xdr:from>
    <xdr:to>
      <xdr:col>9</xdr:col>
      <xdr:colOff>251209</xdr:colOff>
      <xdr:row>56</xdr:row>
      <xdr:rowOff>175846</xdr:rowOff>
    </xdr:to>
    <xdr:graphicFrame macro="">
      <xdr:nvGraphicFramePr>
        <xdr:cNvPr id="12" name="Chart 11">
          <a:extLst>
            <a:ext uri="{FF2B5EF4-FFF2-40B4-BE49-F238E27FC236}">
              <a16:creationId xmlns:a16="http://schemas.microsoft.com/office/drawing/2014/main" id="{AEF9DA00-15F2-4D13-6A52-976458111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rram Naidu" refreshedDate="46317.527789004627" createdVersion="8" refreshedVersion="8" minRefreshableVersion="3" recordCount="300" xr:uid="{49F87A6D-AA02-4E71-8B54-F47800636F09}">
  <cacheSource type="worksheet">
    <worksheetSource ref="A1:X301" sheet="total_dataset"/>
  </cacheSource>
  <cacheFields count="26">
    <cacheField name="order_item_id" numFmtId="0">
      <sharedItems containsSemiMixedTypes="0" containsString="0" containsNumber="1" containsInteger="1" minValue="1" maxValue="300"/>
    </cacheField>
    <cacheField name="order_id" numFmtId="0">
      <sharedItems containsSemiMixedTypes="0" containsString="0" containsNumber="1" containsInteger="1" minValue="1001" maxValue="1120" count="120">
        <n v="1001"/>
        <n v="1007"/>
        <n v="1006"/>
        <n v="1004"/>
        <n v="1012"/>
        <n v="1017"/>
        <n v="1002"/>
        <n v="1011"/>
        <n v="1009"/>
        <n v="1013"/>
        <n v="1003"/>
        <n v="1015"/>
        <n v="1008"/>
        <n v="1005"/>
        <n v="1010"/>
        <n v="1018"/>
        <n v="1016"/>
        <n v="1014"/>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sharedItems>
    </cacheField>
    <cacheField name="product_id" numFmtId="0">
      <sharedItems containsSemiMixedTypes="0" containsString="0" containsNumber="1" containsInteger="1" minValue="1" maxValue="20"/>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199" maxValue="10999"/>
    </cacheField>
    <cacheField name="discount_pct" numFmtId="0">
      <sharedItems containsSemiMixedTypes="0" containsString="0" containsNumber="1" minValue="0" maxValue="0.2"/>
    </cacheField>
    <cacheField name="line_total" numFmtId="0">
      <sharedItems containsSemiMixedTypes="0" containsString="0" containsNumber="1" containsInteger="1" minValue="159" maxValue="21998"/>
    </cacheField>
    <cacheField name="products.product_id" numFmtId="0">
      <sharedItems containsSemiMixedTypes="0" containsString="0" containsNumber="1" containsInteger="1" minValue="1" maxValue="20"/>
    </cacheField>
    <cacheField name="products.product_name" numFmtId="0">
      <sharedItems count="20">
        <s v="Bluetooth Speaker"/>
        <s v="USB-C Hub"/>
        <s v="Monitor 24-inch"/>
        <s v="Mechanical Keyboard"/>
        <s v="Laptop Stand"/>
        <s v="Notebook Set"/>
        <s v="Running Shoes"/>
        <s v="Backpack"/>
        <s v="Phone Stand"/>
        <s v="Power Bank"/>
        <s v="Travel Pouch"/>
        <s v="Desk Lamp"/>
        <s v="Wireless Mouse"/>
        <s v="Gel Pen Pack"/>
        <s v="Office Chair"/>
        <s v="Coffee Mug"/>
        <s v="Planner"/>
        <s v="Webcam HD"/>
        <s v="Water Bottle"/>
        <s v="Yoga Mat"/>
      </sharedItems>
    </cacheField>
    <cacheField name="products.category" numFmtId="0">
      <sharedItems count="5">
        <s v="Electronics"/>
        <s v="Accessories"/>
        <s v="Stationery"/>
        <s v="Lifestyle"/>
        <s v="Home &amp; Office"/>
      </sharedItems>
    </cacheField>
    <cacheField name="products.list_price" numFmtId="0">
      <sharedItems containsSemiMixedTypes="0" containsString="0" containsNumber="1" containsInteger="1" minValue="199" maxValue="10999"/>
    </cacheField>
    <cacheField name="products.unit_cost" numFmtId="0">
      <sharedItems containsSemiMixedTypes="0" containsString="0" containsNumber="1" containsInteger="1" minValue="65" maxValue="7900"/>
    </cacheField>
    <cacheField name="orders.order_id" numFmtId="0">
      <sharedItems containsSemiMixedTypes="0" containsString="0" containsNumber="1" containsInteger="1" minValue="1001" maxValue="1120"/>
    </cacheField>
    <cacheField name="orders.customer_id" numFmtId="0">
      <sharedItems containsSemiMixedTypes="0" containsString="0" containsNumber="1" containsInteger="1" minValue="1" maxValue="39" count="38">
        <n v="28"/>
        <n v="26"/>
        <n v="5"/>
        <n v="7"/>
        <n v="8"/>
        <n v="22"/>
        <n v="14"/>
        <n v="25"/>
        <n v="15"/>
        <n v="17"/>
        <n v="21"/>
        <n v="24"/>
        <n v="29"/>
        <n v="32"/>
        <n v="38"/>
        <n v="31"/>
        <n v="33"/>
        <n v="16"/>
        <n v="1"/>
        <n v="36"/>
        <n v="10"/>
        <n v="23"/>
        <n v="12"/>
        <n v="30"/>
        <n v="2"/>
        <n v="37"/>
        <n v="35"/>
        <n v="3"/>
        <n v="18"/>
        <n v="4"/>
        <n v="39"/>
        <n v="13"/>
        <n v="11"/>
        <n v="27"/>
        <n v="19"/>
        <n v="20"/>
        <n v="6"/>
        <n v="9"/>
      </sharedItems>
    </cacheField>
    <cacheField name="orders.order_date" numFmtId="22">
      <sharedItems containsSemiMixedTypes="0" containsNonDate="0" containsDate="1" containsString="0" minDate="2025-01-02T00:00:00" maxDate="2025-12-31T00:00:00" count="102">
        <d v="2025-06-24T00:00:00"/>
        <d v="2025-07-05T00:00:00"/>
        <d v="2025-11-26T00:00:00"/>
        <d v="2025-11-08T00:00:00"/>
        <d v="2025-09-30T00:00:00"/>
        <d v="2025-02-01T00:00:00"/>
        <d v="2025-07-13T00:00:00"/>
        <d v="2025-02-27T00:00:00"/>
        <d v="2025-10-04T00:00:00"/>
        <d v="2025-05-23T00:00:00"/>
        <d v="2025-02-04T00:00:00"/>
        <d v="2025-10-11T00:00:00"/>
        <d v="2025-01-29T00:00:00"/>
        <d v="2025-03-24T00:00:00"/>
        <d v="2025-03-13T00:00:00"/>
        <d v="2025-04-20T00:00:00"/>
        <d v="2025-08-21T00:00:00"/>
        <d v="2025-09-29T00:00:00"/>
        <d v="2025-07-26T00:00:00"/>
        <d v="2025-10-17T00:00:00"/>
        <d v="2025-08-23T00:00:00"/>
        <d v="2025-03-09T00:00:00"/>
        <d v="2025-06-03T00:00:00"/>
        <d v="2025-09-16T00:00:00"/>
        <d v="2025-06-20T00:00:00"/>
        <d v="2025-10-07T00:00:00"/>
        <d v="2025-04-18T00:00:00"/>
        <d v="2025-04-24T00:00:00"/>
        <d v="2025-11-25T00:00:00"/>
        <d v="2025-08-12T00:00:00"/>
        <d v="2025-01-23T00:00:00"/>
        <d v="2025-12-06T00:00:00"/>
        <d v="2025-12-13T00:00:00"/>
        <d v="2025-08-15T00:00:00"/>
        <d v="2025-01-24T00:00:00"/>
        <d v="2025-04-10T00:00:00"/>
        <d v="2025-05-08T00:00:00"/>
        <d v="2025-03-23T00:00:00"/>
        <d v="2025-02-11T00:00:00"/>
        <d v="2025-10-22T00:00:00"/>
        <d v="2025-05-20T00:00:00"/>
        <d v="2025-03-11T00:00:00"/>
        <d v="2025-01-16T00:00:00"/>
        <d v="2025-12-25T00:00:00"/>
        <d v="2025-01-14T00:00:00"/>
        <d v="2025-08-08T00:00:00"/>
        <d v="2025-09-25T00:00:00"/>
        <d v="2025-06-22T00:00:00"/>
        <d v="2025-10-12T00:00:00"/>
        <d v="2025-05-04T00:00:00"/>
        <d v="2025-06-19T00:00:00"/>
        <d v="2025-04-09T00:00:00"/>
        <d v="2025-03-06T00:00:00"/>
        <d v="2025-05-10T00:00:00"/>
        <d v="2025-11-19T00:00:00"/>
        <d v="2025-11-02T00:00:00"/>
        <d v="2025-06-06T00:00:00"/>
        <d v="2025-11-17T00:00:00"/>
        <d v="2025-08-29T00:00:00"/>
        <d v="2025-02-28T00:00:00"/>
        <d v="2025-05-28T00:00:00"/>
        <d v="2025-11-06T00:00:00"/>
        <d v="2025-03-31T00:00:00"/>
        <d v="2025-12-10T00:00:00"/>
        <d v="2025-09-23T00:00:00"/>
        <d v="2025-06-09T00:00:00"/>
        <d v="2025-09-05T00:00:00"/>
        <d v="2025-05-22T00:00:00"/>
        <d v="2025-08-17T00:00:00"/>
        <d v="2025-07-30T00:00:00"/>
        <d v="2025-03-15T00:00:00"/>
        <d v="2025-11-16T00:00:00"/>
        <d v="2025-04-27T00:00:00"/>
        <d v="2025-01-15T00:00:00"/>
        <d v="2025-02-10T00:00:00"/>
        <d v="2025-12-08T00:00:00"/>
        <d v="2025-08-22T00:00:00"/>
        <d v="2025-06-30T00:00:00"/>
        <d v="2025-06-17T00:00:00"/>
        <d v="2025-05-12T00:00:00"/>
        <d v="2025-10-13T00:00:00"/>
        <d v="2025-12-11T00:00:00"/>
        <d v="2025-11-29T00:00:00"/>
        <d v="2025-02-19T00:00:00"/>
        <d v="2025-12-20T00:00:00"/>
        <d v="2025-01-02T00:00:00"/>
        <d v="2025-01-08T00:00:00"/>
        <d v="2025-12-04T00:00:00"/>
        <d v="2025-04-21T00:00:00"/>
        <d v="2025-02-16T00:00:00"/>
        <d v="2025-03-08T00:00:00"/>
        <d v="2025-06-29T00:00:00"/>
        <d v="2025-11-07T00:00:00"/>
        <d v="2025-09-07T00:00:00"/>
        <d v="2025-01-04T00:00:00"/>
        <d v="2025-12-30T00:00:00"/>
        <d v="2025-11-13T00:00:00"/>
        <d v="2025-10-29T00:00:00"/>
        <d v="2025-11-27T00:00:00"/>
        <d v="2025-04-01T00:00:00"/>
        <d v="2025-08-25T00:00:00"/>
        <d v="2025-06-14T00:00:00"/>
      </sharedItems>
      <fieldGroup par="25"/>
    </cacheField>
    <cacheField name="orders.order_status" numFmtId="0">
      <sharedItems count="4">
        <s v="Delivered"/>
        <s v="Returned"/>
        <s v="Pending"/>
        <s v="Cancelled"/>
      </sharedItems>
    </cacheField>
    <cacheField name="orders.payment_method" numFmtId="0">
      <sharedItems/>
    </cacheField>
    <cacheField name="orders.shipping_days" numFmtId="0">
      <sharedItems containsSemiMixedTypes="0" containsString="0" containsNumber="1" containsInteger="1" minValue="0" maxValue="7"/>
    </cacheField>
    <cacheField name="customers.customer_id" numFmtId="0">
      <sharedItems containsSemiMixedTypes="0" containsString="0" containsNumber="1" containsInteger="1" minValue="1" maxValue="39" count="38">
        <n v="28"/>
        <n v="26"/>
        <n v="5"/>
        <n v="7"/>
        <n v="8"/>
        <n v="22"/>
        <n v="14"/>
        <n v="25"/>
        <n v="15"/>
        <n v="17"/>
        <n v="21"/>
        <n v="24"/>
        <n v="29"/>
        <n v="32"/>
        <n v="38"/>
        <n v="31"/>
        <n v="33"/>
        <n v="16"/>
        <n v="1"/>
        <n v="36"/>
        <n v="10"/>
        <n v="23"/>
        <n v="12"/>
        <n v="30"/>
        <n v="2"/>
        <n v="37"/>
        <n v="35"/>
        <n v="3"/>
        <n v="18"/>
        <n v="4"/>
        <n v="39"/>
        <n v="13"/>
        <n v="11"/>
        <n v="27"/>
        <n v="19"/>
        <n v="20"/>
        <n v="6"/>
        <n v="9"/>
      </sharedItems>
    </cacheField>
    <cacheField name="customers.first_name" numFmtId="0">
      <sharedItems/>
    </cacheField>
    <cacheField name="customers.last_name" numFmtId="0">
      <sharedItems/>
    </cacheField>
    <cacheField name="customers.city" numFmtId="0">
      <sharedItems count="10">
        <s v="Visakhapatnam"/>
        <s v="Chennai"/>
        <s v="Vijayawada"/>
        <s v="Jaipur"/>
        <s v="Pune"/>
        <s v="Kochi"/>
        <s v="Delhi"/>
        <s v="Mumbai"/>
        <s v="Bengaluru"/>
        <s v="Hyderabad"/>
      </sharedItems>
    </cacheField>
    <cacheField name="customers.customer_segment" numFmtId="0">
      <sharedItems/>
    </cacheField>
    <cacheField name="customers.signup_date" numFmtId="14">
      <sharedItems containsSemiMixedTypes="0" containsNonDate="0" containsDate="1" containsString="0" minDate="2023-01-07T00:00:00" maxDate="2025-04-09T00:00:00"/>
    </cacheField>
    <cacheField name="Days (orders.order_date)" numFmtId="0" databaseField="0">
      <fieldGroup base="14">
        <rangePr groupBy="days" startDate="2025-01-02T00:00:00" endDate="2025-12-3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orders.order_date)" numFmtId="0" databaseField="0">
      <fieldGroup base="14">
        <rangePr groupBy="months" startDate="2025-01-02T00:00:00" endDate="2025-12-31T00:00:00"/>
        <groupItems count="14">
          <s v="&lt;02-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760822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n v="4"/>
    <n v="1"/>
    <n v="2199"/>
    <n v="0.05"/>
    <n v="2089"/>
    <n v="4"/>
    <x v="0"/>
    <x v="0"/>
    <n v="2199"/>
    <n v="1250"/>
    <n v="1001"/>
    <x v="0"/>
    <x v="0"/>
    <x v="0"/>
    <s v="Credit Card"/>
    <n v="2"/>
    <x v="0"/>
    <s v="Mira"/>
    <s v="Rao"/>
    <x v="0"/>
    <s v="Small Business"/>
    <d v="2024-10-27T00:00:00"/>
  </r>
  <r>
    <n v="2"/>
    <x v="0"/>
    <n v="3"/>
    <n v="1"/>
    <n v="1799"/>
    <n v="0"/>
    <n v="1799"/>
    <n v="3"/>
    <x v="1"/>
    <x v="0"/>
    <n v="1799"/>
    <n v="980"/>
    <n v="1001"/>
    <x v="0"/>
    <x v="0"/>
    <x v="0"/>
    <s v="Credit Card"/>
    <n v="2"/>
    <x v="0"/>
    <s v="Mira"/>
    <s v="Rao"/>
    <x v="0"/>
    <s v="Small Business"/>
    <d v="2024-10-27T00:00:00"/>
  </r>
  <r>
    <n v="3"/>
    <x v="0"/>
    <n v="13"/>
    <n v="2"/>
    <n v="10999"/>
    <n v="0.15"/>
    <n v="18698"/>
    <n v="13"/>
    <x v="2"/>
    <x v="0"/>
    <n v="10999"/>
    <n v="7900"/>
    <n v="1001"/>
    <x v="0"/>
    <x v="0"/>
    <x v="0"/>
    <s v="Credit Card"/>
    <n v="2"/>
    <x v="0"/>
    <s v="Mira"/>
    <s v="Rao"/>
    <x v="0"/>
    <s v="Small Business"/>
    <d v="2024-10-27T00:00:00"/>
  </r>
  <r>
    <n v="18"/>
    <x v="1"/>
    <n v="4"/>
    <n v="1"/>
    <n v="2199"/>
    <n v="0.15"/>
    <n v="1869"/>
    <n v="4"/>
    <x v="0"/>
    <x v="0"/>
    <n v="2199"/>
    <n v="1250"/>
    <n v="1007"/>
    <x v="1"/>
    <x v="1"/>
    <x v="0"/>
    <s v="Cash on Delivery"/>
    <n v="2"/>
    <x v="1"/>
    <s v="Tara"/>
    <s v="Kapoor"/>
    <x v="1"/>
    <s v="Corporate"/>
    <d v="2023-07-23T00:00:00"/>
  </r>
  <r>
    <n v="16"/>
    <x v="1"/>
    <n v="3"/>
    <n v="1"/>
    <n v="1799"/>
    <n v="0.2"/>
    <n v="1439"/>
    <n v="3"/>
    <x v="1"/>
    <x v="0"/>
    <n v="1799"/>
    <n v="980"/>
    <n v="1007"/>
    <x v="1"/>
    <x v="1"/>
    <x v="0"/>
    <s v="Cash on Delivery"/>
    <n v="2"/>
    <x v="1"/>
    <s v="Tara"/>
    <s v="Kapoor"/>
    <x v="1"/>
    <s v="Corporate"/>
    <d v="2023-07-23T00:00:00"/>
  </r>
  <r>
    <n v="17"/>
    <x v="1"/>
    <n v="2"/>
    <n v="1"/>
    <n v="2499"/>
    <n v="0"/>
    <n v="2499"/>
    <n v="2"/>
    <x v="3"/>
    <x v="0"/>
    <n v="2499"/>
    <n v="1500"/>
    <n v="1007"/>
    <x v="1"/>
    <x v="1"/>
    <x v="0"/>
    <s v="Cash on Delivery"/>
    <n v="2"/>
    <x v="1"/>
    <s v="Tara"/>
    <s v="Kapoor"/>
    <x v="1"/>
    <s v="Corporate"/>
    <d v="2023-07-23T00:00:00"/>
  </r>
  <r>
    <n v="19"/>
    <x v="1"/>
    <n v="5"/>
    <n v="3"/>
    <n v="1299"/>
    <n v="0.15"/>
    <n v="3312"/>
    <n v="5"/>
    <x v="4"/>
    <x v="1"/>
    <n v="1299"/>
    <n v="650"/>
    <n v="1007"/>
    <x v="1"/>
    <x v="1"/>
    <x v="0"/>
    <s v="Cash on Delivery"/>
    <n v="2"/>
    <x v="1"/>
    <s v="Tara"/>
    <s v="Kapoor"/>
    <x v="1"/>
    <s v="Corporate"/>
    <d v="2023-07-23T00:00:00"/>
  </r>
  <r>
    <n v="14"/>
    <x v="2"/>
    <n v="8"/>
    <n v="1"/>
    <n v="299"/>
    <n v="0.2"/>
    <n v="239"/>
    <n v="8"/>
    <x v="5"/>
    <x v="2"/>
    <n v="299"/>
    <n v="110"/>
    <n v="1006"/>
    <x v="1"/>
    <x v="2"/>
    <x v="0"/>
    <s v="Debit Card"/>
    <n v="2"/>
    <x v="1"/>
    <s v="Tara"/>
    <s v="Kapoor"/>
    <x v="1"/>
    <s v="Corporate"/>
    <d v="2023-07-23T00:00:00"/>
  </r>
  <r>
    <n v="15"/>
    <x v="2"/>
    <n v="18"/>
    <n v="1"/>
    <n v="3299"/>
    <n v="0.15"/>
    <n v="2804"/>
    <n v="18"/>
    <x v="6"/>
    <x v="3"/>
    <n v="3299"/>
    <n v="2050"/>
    <n v="1006"/>
    <x v="1"/>
    <x v="2"/>
    <x v="0"/>
    <s v="Debit Card"/>
    <n v="2"/>
    <x v="1"/>
    <s v="Tara"/>
    <s v="Kapoor"/>
    <x v="1"/>
    <s v="Corporate"/>
    <d v="2023-07-23T00:00:00"/>
  </r>
  <r>
    <n v="9"/>
    <x v="3"/>
    <n v="6"/>
    <n v="1"/>
    <n v="1899"/>
    <n v="0.2"/>
    <n v="1519"/>
    <n v="6"/>
    <x v="7"/>
    <x v="1"/>
    <n v="1899"/>
    <n v="950"/>
    <n v="1004"/>
    <x v="2"/>
    <x v="3"/>
    <x v="1"/>
    <s v="Cash on Delivery"/>
    <n v="2"/>
    <x v="2"/>
    <s v="Vihaan"/>
    <s v="Pillai"/>
    <x v="2"/>
    <s v="Corporate"/>
    <d v="2023-10-09T00:00:00"/>
  </r>
  <r>
    <n v="10"/>
    <x v="3"/>
    <n v="15"/>
    <n v="2"/>
    <n v="349"/>
    <n v="0"/>
    <n v="698"/>
    <n v="15"/>
    <x v="8"/>
    <x v="1"/>
    <n v="349"/>
    <n v="120"/>
    <n v="1004"/>
    <x v="2"/>
    <x v="3"/>
    <x v="1"/>
    <s v="Cash on Delivery"/>
    <n v="2"/>
    <x v="2"/>
    <s v="Vihaan"/>
    <s v="Pillai"/>
    <x v="2"/>
    <s v="Corporate"/>
    <d v="2023-10-09T00:00:00"/>
  </r>
  <r>
    <n v="28"/>
    <x v="4"/>
    <n v="16"/>
    <n v="1"/>
    <n v="1599"/>
    <n v="0.15"/>
    <n v="1359"/>
    <n v="16"/>
    <x v="9"/>
    <x v="0"/>
    <n v="1599"/>
    <n v="900"/>
    <n v="1012"/>
    <x v="2"/>
    <x v="4"/>
    <x v="2"/>
    <s v="Credit Card"/>
    <n v="0"/>
    <x v="2"/>
    <s v="Vihaan"/>
    <s v="Pillai"/>
    <x v="2"/>
    <s v="Corporate"/>
    <d v="2023-10-09T00:00:00"/>
  </r>
  <r>
    <n v="29"/>
    <x v="4"/>
    <n v="18"/>
    <n v="2"/>
    <n v="3299"/>
    <n v="0.1"/>
    <n v="5938"/>
    <n v="18"/>
    <x v="6"/>
    <x v="3"/>
    <n v="3299"/>
    <n v="2050"/>
    <n v="1012"/>
    <x v="2"/>
    <x v="4"/>
    <x v="2"/>
    <s v="Credit Card"/>
    <n v="0"/>
    <x v="2"/>
    <s v="Vihaan"/>
    <s v="Pillai"/>
    <x v="2"/>
    <s v="Corporate"/>
    <d v="2023-10-09T00:00:00"/>
  </r>
  <r>
    <n v="39"/>
    <x v="5"/>
    <n v="8"/>
    <n v="1"/>
    <n v="299"/>
    <n v="0.15"/>
    <n v="254"/>
    <n v="8"/>
    <x v="5"/>
    <x v="2"/>
    <n v="299"/>
    <n v="110"/>
    <n v="1017"/>
    <x v="3"/>
    <x v="5"/>
    <x v="0"/>
    <s v="Debit Card"/>
    <n v="6"/>
    <x v="3"/>
    <s v="Arjun"/>
    <s v="Reddy"/>
    <x v="3"/>
    <s v="Small Business"/>
    <d v="2023-08-17T00:00:00"/>
  </r>
  <r>
    <n v="6"/>
    <x v="6"/>
    <n v="3"/>
    <n v="2"/>
    <n v="1799"/>
    <n v="0"/>
    <n v="3598"/>
    <n v="3"/>
    <x v="1"/>
    <x v="0"/>
    <n v="1799"/>
    <n v="980"/>
    <n v="1002"/>
    <x v="4"/>
    <x v="6"/>
    <x v="0"/>
    <s v="Debit Card"/>
    <n v="5"/>
    <x v="4"/>
    <s v="Meera"/>
    <s v="Rao"/>
    <x v="0"/>
    <s v="Corporate"/>
    <d v="2023-05-23T00:00:00"/>
  </r>
  <r>
    <n v="4"/>
    <x v="6"/>
    <n v="19"/>
    <n v="1"/>
    <n v="499"/>
    <n v="0"/>
    <n v="499"/>
    <n v="19"/>
    <x v="10"/>
    <x v="1"/>
    <n v="499"/>
    <n v="220"/>
    <n v="1002"/>
    <x v="4"/>
    <x v="6"/>
    <x v="0"/>
    <s v="Debit Card"/>
    <n v="5"/>
    <x v="4"/>
    <s v="Meera"/>
    <s v="Rao"/>
    <x v="0"/>
    <s v="Corporate"/>
    <d v="2023-05-23T00:00:00"/>
  </r>
  <r>
    <n v="5"/>
    <x v="6"/>
    <n v="7"/>
    <n v="2"/>
    <n v="999"/>
    <n v="0"/>
    <n v="1998"/>
    <n v="7"/>
    <x v="11"/>
    <x v="4"/>
    <n v="999"/>
    <n v="480"/>
    <n v="1002"/>
    <x v="4"/>
    <x v="6"/>
    <x v="0"/>
    <s v="Debit Card"/>
    <n v="5"/>
    <x v="4"/>
    <s v="Meera"/>
    <s v="Rao"/>
    <x v="0"/>
    <s v="Corporate"/>
    <d v="2023-05-23T00:00:00"/>
  </r>
  <r>
    <n v="26"/>
    <x v="7"/>
    <n v="2"/>
    <n v="2"/>
    <n v="2499"/>
    <n v="0"/>
    <n v="4998"/>
    <n v="2"/>
    <x v="3"/>
    <x v="0"/>
    <n v="2499"/>
    <n v="1500"/>
    <n v="1011"/>
    <x v="4"/>
    <x v="1"/>
    <x v="2"/>
    <s v="Debit Card"/>
    <n v="0"/>
    <x v="4"/>
    <s v="Meera"/>
    <s v="Rao"/>
    <x v="0"/>
    <s v="Corporate"/>
    <d v="2023-05-23T00:00:00"/>
  </r>
  <r>
    <n v="27"/>
    <x v="7"/>
    <n v="8"/>
    <n v="1"/>
    <n v="299"/>
    <n v="0.1"/>
    <n v="269"/>
    <n v="8"/>
    <x v="5"/>
    <x v="2"/>
    <n v="299"/>
    <n v="110"/>
    <n v="1011"/>
    <x v="4"/>
    <x v="1"/>
    <x v="2"/>
    <s v="Debit Card"/>
    <n v="0"/>
    <x v="4"/>
    <s v="Meera"/>
    <s v="Rao"/>
    <x v="0"/>
    <s v="Corporate"/>
    <d v="2023-05-23T00:00:00"/>
  </r>
  <r>
    <n v="21"/>
    <x v="8"/>
    <n v="1"/>
    <n v="1"/>
    <n v="799"/>
    <n v="0"/>
    <n v="799"/>
    <n v="1"/>
    <x v="12"/>
    <x v="0"/>
    <n v="799"/>
    <n v="420"/>
    <n v="1009"/>
    <x v="5"/>
    <x v="7"/>
    <x v="0"/>
    <s v="Credit Card"/>
    <n v="4"/>
    <x v="5"/>
    <s v="Sneha"/>
    <s v="Gupta"/>
    <x v="4"/>
    <s v="Small Business"/>
    <d v="2024-06-01T00:00:00"/>
  </r>
  <r>
    <n v="22"/>
    <x v="8"/>
    <n v="9"/>
    <n v="2"/>
    <n v="199"/>
    <n v="0.05"/>
    <n v="378"/>
    <n v="9"/>
    <x v="13"/>
    <x v="2"/>
    <n v="199"/>
    <n v="65"/>
    <n v="1009"/>
    <x v="5"/>
    <x v="7"/>
    <x v="0"/>
    <s v="Credit Card"/>
    <n v="4"/>
    <x v="5"/>
    <s v="Sneha"/>
    <s v="Gupta"/>
    <x v="4"/>
    <s v="Small Business"/>
    <d v="2024-06-01T00:00:00"/>
  </r>
  <r>
    <n v="23"/>
    <x v="8"/>
    <n v="17"/>
    <n v="2"/>
    <n v="8499"/>
    <n v="0.15"/>
    <n v="14448"/>
    <n v="17"/>
    <x v="14"/>
    <x v="4"/>
    <n v="8499"/>
    <n v="6100"/>
    <n v="1009"/>
    <x v="5"/>
    <x v="7"/>
    <x v="0"/>
    <s v="Credit Card"/>
    <n v="4"/>
    <x v="5"/>
    <s v="Sneha"/>
    <s v="Gupta"/>
    <x v="4"/>
    <s v="Small Business"/>
    <d v="2024-06-01T00:00:00"/>
  </r>
  <r>
    <n v="24"/>
    <x v="8"/>
    <n v="6"/>
    <n v="1"/>
    <n v="1899"/>
    <n v="0"/>
    <n v="1899"/>
    <n v="6"/>
    <x v="7"/>
    <x v="1"/>
    <n v="1899"/>
    <n v="950"/>
    <n v="1009"/>
    <x v="5"/>
    <x v="7"/>
    <x v="0"/>
    <s v="Credit Card"/>
    <n v="4"/>
    <x v="5"/>
    <s v="Sneha"/>
    <s v="Gupta"/>
    <x v="4"/>
    <s v="Small Business"/>
    <d v="2024-06-01T00:00:00"/>
  </r>
  <r>
    <n v="30"/>
    <x v="9"/>
    <n v="13"/>
    <n v="2"/>
    <n v="10999"/>
    <n v="0.1"/>
    <n v="19798"/>
    <n v="13"/>
    <x v="2"/>
    <x v="0"/>
    <n v="10999"/>
    <n v="7900"/>
    <n v="1013"/>
    <x v="6"/>
    <x v="8"/>
    <x v="2"/>
    <s v="Credit Card"/>
    <n v="0"/>
    <x v="6"/>
    <s v="Kavya"/>
    <s v="Patel"/>
    <x v="5"/>
    <s v="Corporate"/>
    <d v="2023-03-31T00:00:00"/>
  </r>
  <r>
    <n v="31"/>
    <x v="9"/>
    <n v="12"/>
    <n v="1"/>
    <n v="399"/>
    <n v="0"/>
    <n v="399"/>
    <n v="12"/>
    <x v="15"/>
    <x v="4"/>
    <n v="399"/>
    <n v="140"/>
    <n v="1013"/>
    <x v="6"/>
    <x v="8"/>
    <x v="2"/>
    <s v="Credit Card"/>
    <n v="0"/>
    <x v="6"/>
    <s v="Kavya"/>
    <s v="Patel"/>
    <x v="5"/>
    <s v="Corporate"/>
    <d v="2023-03-31T00:00:00"/>
  </r>
  <r>
    <n v="32"/>
    <x v="9"/>
    <n v="15"/>
    <n v="1"/>
    <n v="349"/>
    <n v="0"/>
    <n v="349"/>
    <n v="15"/>
    <x v="8"/>
    <x v="1"/>
    <n v="349"/>
    <n v="120"/>
    <n v="1013"/>
    <x v="6"/>
    <x v="8"/>
    <x v="2"/>
    <s v="Credit Card"/>
    <n v="0"/>
    <x v="6"/>
    <s v="Kavya"/>
    <s v="Patel"/>
    <x v="5"/>
    <s v="Corporate"/>
    <d v="2023-03-31T00:00:00"/>
  </r>
  <r>
    <n v="7"/>
    <x v="10"/>
    <n v="12"/>
    <n v="1"/>
    <n v="399"/>
    <n v="0.05"/>
    <n v="379"/>
    <n v="12"/>
    <x v="15"/>
    <x v="4"/>
    <n v="399"/>
    <n v="140"/>
    <n v="1003"/>
    <x v="7"/>
    <x v="9"/>
    <x v="0"/>
    <s v="Debit Card"/>
    <n v="6"/>
    <x v="7"/>
    <s v="Manav"/>
    <s v="Pillai"/>
    <x v="2"/>
    <s v="Small Business"/>
    <d v="2024-07-28T00:00:00"/>
  </r>
  <r>
    <n v="8"/>
    <x v="10"/>
    <n v="20"/>
    <n v="2"/>
    <n v="449"/>
    <n v="0.2"/>
    <n v="718"/>
    <n v="20"/>
    <x v="16"/>
    <x v="2"/>
    <n v="449"/>
    <n v="180"/>
    <n v="1003"/>
    <x v="7"/>
    <x v="9"/>
    <x v="0"/>
    <s v="Debit Card"/>
    <n v="6"/>
    <x v="7"/>
    <s v="Manav"/>
    <s v="Pillai"/>
    <x v="2"/>
    <s v="Small Business"/>
    <d v="2024-07-28T00:00:00"/>
  </r>
  <r>
    <n v="34"/>
    <x v="11"/>
    <n v="17"/>
    <n v="1"/>
    <n v="8499"/>
    <n v="0.2"/>
    <n v="6799"/>
    <n v="17"/>
    <x v="14"/>
    <x v="4"/>
    <n v="8499"/>
    <n v="6100"/>
    <n v="1015"/>
    <x v="8"/>
    <x v="10"/>
    <x v="0"/>
    <s v="Debit Card"/>
    <n v="7"/>
    <x v="8"/>
    <s v="Reyansh"/>
    <s v="Singh"/>
    <x v="2"/>
    <s v="Consumer"/>
    <d v="2024-08-27T00:00:00"/>
  </r>
  <r>
    <n v="20"/>
    <x v="12"/>
    <n v="18"/>
    <n v="2"/>
    <n v="3299"/>
    <n v="0.2"/>
    <n v="5278"/>
    <n v="18"/>
    <x v="6"/>
    <x v="3"/>
    <n v="3299"/>
    <n v="2050"/>
    <n v="1008"/>
    <x v="9"/>
    <x v="11"/>
    <x v="2"/>
    <s v="UPI"/>
    <n v="0"/>
    <x v="9"/>
    <s v="Rahul"/>
    <s v="Mehta"/>
    <x v="3"/>
    <s v="Corporate"/>
    <d v="2023-02-02T00:00:00"/>
  </r>
  <r>
    <n v="13"/>
    <x v="13"/>
    <n v="3"/>
    <n v="1"/>
    <n v="1799"/>
    <n v="0.1"/>
    <n v="1619"/>
    <n v="3"/>
    <x v="1"/>
    <x v="0"/>
    <n v="1799"/>
    <n v="980"/>
    <n v="1005"/>
    <x v="10"/>
    <x v="12"/>
    <x v="0"/>
    <s v="UPI"/>
    <n v="7"/>
    <x v="10"/>
    <s v="Vikram"/>
    <s v="Kumar"/>
    <x v="6"/>
    <s v="Consumer"/>
    <d v="2023-08-27T00:00:00"/>
  </r>
  <r>
    <n v="11"/>
    <x v="13"/>
    <n v="13"/>
    <n v="1"/>
    <n v="10999"/>
    <n v="0.15"/>
    <n v="9349"/>
    <n v="13"/>
    <x v="2"/>
    <x v="0"/>
    <n v="10999"/>
    <n v="7900"/>
    <n v="1005"/>
    <x v="10"/>
    <x v="12"/>
    <x v="0"/>
    <s v="UPI"/>
    <n v="7"/>
    <x v="10"/>
    <s v="Vikram"/>
    <s v="Kumar"/>
    <x v="6"/>
    <s v="Consumer"/>
    <d v="2023-08-27T00:00:00"/>
  </r>
  <r>
    <n v="12"/>
    <x v="13"/>
    <n v="9"/>
    <n v="2"/>
    <n v="199"/>
    <n v="0.05"/>
    <n v="378"/>
    <n v="9"/>
    <x v="13"/>
    <x v="2"/>
    <n v="199"/>
    <n v="65"/>
    <n v="1005"/>
    <x v="10"/>
    <x v="12"/>
    <x v="0"/>
    <s v="UPI"/>
    <n v="7"/>
    <x v="10"/>
    <s v="Vikram"/>
    <s v="Kumar"/>
    <x v="6"/>
    <s v="Consumer"/>
    <d v="2023-08-27T00:00:00"/>
  </r>
  <r>
    <n v="25"/>
    <x v="14"/>
    <n v="20"/>
    <n v="1"/>
    <n v="449"/>
    <n v="0"/>
    <n v="449"/>
    <n v="20"/>
    <x v="16"/>
    <x v="2"/>
    <n v="449"/>
    <n v="180"/>
    <n v="1010"/>
    <x v="11"/>
    <x v="13"/>
    <x v="3"/>
    <s v="Cash on Delivery"/>
    <n v="0"/>
    <x v="11"/>
    <s v="Nisha"/>
    <s v="Joshi"/>
    <x v="5"/>
    <s v="Consumer"/>
    <d v="2023-01-28T00:00:00"/>
  </r>
  <r>
    <n v="40"/>
    <x v="15"/>
    <n v="8"/>
    <n v="1"/>
    <n v="299"/>
    <n v="0.15"/>
    <n v="254"/>
    <n v="8"/>
    <x v="5"/>
    <x v="2"/>
    <n v="299"/>
    <n v="110"/>
    <n v="1018"/>
    <x v="12"/>
    <x v="14"/>
    <x v="0"/>
    <s v="Debit Card"/>
    <n v="2"/>
    <x v="12"/>
    <s v="Ayaan"/>
    <s v="Naidu"/>
    <x v="7"/>
    <s v="Corporate"/>
    <d v="2024-12-19T00:00:00"/>
  </r>
  <r>
    <n v="41"/>
    <x v="15"/>
    <n v="3"/>
    <n v="2"/>
    <n v="1799"/>
    <n v="0"/>
    <n v="3598"/>
    <n v="3"/>
    <x v="1"/>
    <x v="0"/>
    <n v="1799"/>
    <n v="980"/>
    <n v="1018"/>
    <x v="12"/>
    <x v="14"/>
    <x v="0"/>
    <s v="Debit Card"/>
    <n v="2"/>
    <x v="12"/>
    <s v="Ayaan"/>
    <s v="Naidu"/>
    <x v="7"/>
    <s v="Corporate"/>
    <d v="2024-12-19T00:00:00"/>
  </r>
  <r>
    <n v="35"/>
    <x v="16"/>
    <n v="8"/>
    <n v="1"/>
    <n v="299"/>
    <n v="0.2"/>
    <n v="239"/>
    <n v="8"/>
    <x v="5"/>
    <x v="2"/>
    <n v="299"/>
    <n v="110"/>
    <n v="1016"/>
    <x v="13"/>
    <x v="15"/>
    <x v="3"/>
    <s v="Credit Card"/>
    <n v="0"/>
    <x v="13"/>
    <s v="Anika"/>
    <s v="Chowdhury"/>
    <x v="4"/>
    <s v="Corporate"/>
    <d v="2023-08-14T00:00:00"/>
  </r>
  <r>
    <n v="36"/>
    <x v="16"/>
    <n v="16"/>
    <n v="1"/>
    <n v="1599"/>
    <n v="0.1"/>
    <n v="1439"/>
    <n v="16"/>
    <x v="9"/>
    <x v="0"/>
    <n v="1599"/>
    <n v="900"/>
    <n v="1016"/>
    <x v="13"/>
    <x v="15"/>
    <x v="3"/>
    <s v="Credit Card"/>
    <n v="0"/>
    <x v="13"/>
    <s v="Anika"/>
    <s v="Chowdhury"/>
    <x v="4"/>
    <s v="Corporate"/>
    <d v="2023-08-14T00:00:00"/>
  </r>
  <r>
    <n v="37"/>
    <x v="16"/>
    <n v="14"/>
    <n v="1"/>
    <n v="2499"/>
    <n v="0.2"/>
    <n v="1999"/>
    <n v="14"/>
    <x v="17"/>
    <x v="0"/>
    <n v="2499"/>
    <n v="1500"/>
    <n v="1016"/>
    <x v="13"/>
    <x v="15"/>
    <x v="3"/>
    <s v="Credit Card"/>
    <n v="0"/>
    <x v="13"/>
    <s v="Anika"/>
    <s v="Chowdhury"/>
    <x v="4"/>
    <s v="Corporate"/>
    <d v="2023-08-14T00:00:00"/>
  </r>
  <r>
    <n v="38"/>
    <x v="16"/>
    <n v="7"/>
    <n v="1"/>
    <n v="999"/>
    <n v="0.2"/>
    <n v="799"/>
    <n v="7"/>
    <x v="11"/>
    <x v="4"/>
    <n v="999"/>
    <n v="480"/>
    <n v="1016"/>
    <x v="13"/>
    <x v="15"/>
    <x v="3"/>
    <s v="Credit Card"/>
    <n v="0"/>
    <x v="13"/>
    <s v="Anika"/>
    <s v="Chowdhury"/>
    <x v="4"/>
    <s v="Corporate"/>
    <d v="2023-08-14T00:00:00"/>
  </r>
  <r>
    <n v="33"/>
    <x v="17"/>
    <n v="3"/>
    <n v="2"/>
    <n v="1799"/>
    <n v="0"/>
    <n v="3598"/>
    <n v="3"/>
    <x v="1"/>
    <x v="0"/>
    <n v="1799"/>
    <n v="980"/>
    <n v="1014"/>
    <x v="14"/>
    <x v="11"/>
    <x v="0"/>
    <s v="Credit Card"/>
    <n v="5"/>
    <x v="14"/>
    <s v="Tanvi"/>
    <s v="Mishra"/>
    <x v="0"/>
    <s v="Corporate"/>
    <d v="2025-02-16T00:00:00"/>
  </r>
  <r>
    <n v="42"/>
    <x v="15"/>
    <n v="15"/>
    <n v="2"/>
    <n v="349"/>
    <n v="0"/>
    <n v="698"/>
    <n v="15"/>
    <x v="8"/>
    <x v="1"/>
    <n v="349"/>
    <n v="120"/>
    <n v="1018"/>
    <x v="12"/>
    <x v="14"/>
    <x v="0"/>
    <s v="Debit Card"/>
    <n v="2"/>
    <x v="12"/>
    <s v="Ayaan"/>
    <s v="Naidu"/>
    <x v="7"/>
    <s v="Corporate"/>
    <d v="2024-12-19T00:00:00"/>
  </r>
  <r>
    <n v="43"/>
    <x v="15"/>
    <n v="4"/>
    <n v="1"/>
    <n v="2199"/>
    <n v="0.1"/>
    <n v="1979"/>
    <n v="4"/>
    <x v="0"/>
    <x v="0"/>
    <n v="2199"/>
    <n v="1250"/>
    <n v="1018"/>
    <x v="12"/>
    <x v="14"/>
    <x v="0"/>
    <s v="Debit Card"/>
    <n v="2"/>
    <x v="12"/>
    <s v="Ayaan"/>
    <s v="Naidu"/>
    <x v="7"/>
    <s v="Corporate"/>
    <d v="2024-12-19T00:00:00"/>
  </r>
  <r>
    <n v="44"/>
    <x v="18"/>
    <n v="6"/>
    <n v="1"/>
    <n v="1899"/>
    <n v="0.1"/>
    <n v="1709"/>
    <n v="6"/>
    <x v="7"/>
    <x v="1"/>
    <n v="1899"/>
    <n v="950"/>
    <n v="1019"/>
    <x v="15"/>
    <x v="15"/>
    <x v="2"/>
    <s v="Net Banking"/>
    <n v="0"/>
    <x v="15"/>
    <s v="Nikhil"/>
    <s v="Nair"/>
    <x v="6"/>
    <s v="Small Business"/>
    <d v="2024-03-05T00:00:00"/>
  </r>
  <r>
    <n v="45"/>
    <x v="19"/>
    <n v="5"/>
    <n v="3"/>
    <n v="1299"/>
    <n v="0.15"/>
    <n v="3312"/>
    <n v="5"/>
    <x v="4"/>
    <x v="1"/>
    <n v="1299"/>
    <n v="650"/>
    <n v="1020"/>
    <x v="9"/>
    <x v="16"/>
    <x v="0"/>
    <s v="Cash on Delivery"/>
    <n v="4"/>
    <x v="9"/>
    <s v="Rahul"/>
    <s v="Mehta"/>
    <x v="3"/>
    <s v="Corporate"/>
    <d v="2023-02-02T00:00:00"/>
  </r>
  <r>
    <n v="46"/>
    <x v="19"/>
    <n v="7"/>
    <n v="2"/>
    <n v="999"/>
    <n v="0"/>
    <n v="1998"/>
    <n v="7"/>
    <x v="11"/>
    <x v="4"/>
    <n v="999"/>
    <n v="480"/>
    <n v="1020"/>
    <x v="9"/>
    <x v="16"/>
    <x v="0"/>
    <s v="Cash on Delivery"/>
    <n v="4"/>
    <x v="9"/>
    <s v="Rahul"/>
    <s v="Mehta"/>
    <x v="3"/>
    <s v="Corporate"/>
    <d v="2023-02-02T00:00:00"/>
  </r>
  <r>
    <n v="47"/>
    <x v="19"/>
    <n v="10"/>
    <n v="2"/>
    <n v="599"/>
    <n v="0"/>
    <n v="1198"/>
    <n v="10"/>
    <x v="18"/>
    <x v="3"/>
    <n v="599"/>
    <n v="260"/>
    <n v="1020"/>
    <x v="9"/>
    <x v="16"/>
    <x v="0"/>
    <s v="Cash on Delivery"/>
    <n v="4"/>
    <x v="9"/>
    <s v="Rahul"/>
    <s v="Mehta"/>
    <x v="3"/>
    <s v="Corporate"/>
    <d v="2023-02-02T00:00:00"/>
  </r>
  <r>
    <n v="48"/>
    <x v="19"/>
    <n v="19"/>
    <n v="1"/>
    <n v="499"/>
    <n v="0.1"/>
    <n v="449"/>
    <n v="19"/>
    <x v="10"/>
    <x v="1"/>
    <n v="499"/>
    <n v="220"/>
    <n v="1020"/>
    <x v="9"/>
    <x v="16"/>
    <x v="0"/>
    <s v="Cash on Delivery"/>
    <n v="4"/>
    <x v="9"/>
    <s v="Rahul"/>
    <s v="Mehta"/>
    <x v="3"/>
    <s v="Corporate"/>
    <d v="2023-02-02T00:00:00"/>
  </r>
  <r>
    <n v="49"/>
    <x v="20"/>
    <n v="6"/>
    <n v="1"/>
    <n v="1899"/>
    <n v="0"/>
    <n v="1899"/>
    <n v="6"/>
    <x v="7"/>
    <x v="1"/>
    <n v="1899"/>
    <n v="950"/>
    <n v="1021"/>
    <x v="16"/>
    <x v="17"/>
    <x v="0"/>
    <s v="Cash on Delivery"/>
    <n v="1"/>
    <x v="16"/>
    <s v="Varun"/>
    <s v="Jain"/>
    <x v="8"/>
    <s v="Consumer"/>
    <d v="2024-04-04T00:00:00"/>
  </r>
  <r>
    <n v="50"/>
    <x v="21"/>
    <n v="20"/>
    <n v="1"/>
    <n v="449"/>
    <n v="0.2"/>
    <n v="359"/>
    <n v="20"/>
    <x v="16"/>
    <x v="2"/>
    <n v="449"/>
    <n v="180"/>
    <n v="1022"/>
    <x v="17"/>
    <x v="18"/>
    <x v="0"/>
    <s v="Credit Card"/>
    <n v="5"/>
    <x v="17"/>
    <s v="Aditi"/>
    <s v="Verma"/>
    <x v="1"/>
    <s v="Small Business"/>
    <d v="2024-03-08T00:00:00"/>
  </r>
  <r>
    <n v="51"/>
    <x v="22"/>
    <n v="7"/>
    <n v="1"/>
    <n v="999"/>
    <n v="0"/>
    <n v="999"/>
    <n v="7"/>
    <x v="11"/>
    <x v="4"/>
    <n v="999"/>
    <n v="480"/>
    <n v="1023"/>
    <x v="14"/>
    <x v="19"/>
    <x v="3"/>
    <s v="Debit Card"/>
    <n v="0"/>
    <x v="14"/>
    <s v="Tanvi"/>
    <s v="Mishra"/>
    <x v="0"/>
    <s v="Corporate"/>
    <d v="2025-02-16T00:00:00"/>
  </r>
  <r>
    <n v="52"/>
    <x v="22"/>
    <n v="11"/>
    <n v="2"/>
    <n v="1099"/>
    <n v="0.05"/>
    <n v="2088"/>
    <n v="11"/>
    <x v="19"/>
    <x v="3"/>
    <n v="1099"/>
    <n v="570"/>
    <n v="1023"/>
    <x v="14"/>
    <x v="19"/>
    <x v="3"/>
    <s v="Debit Card"/>
    <n v="0"/>
    <x v="14"/>
    <s v="Tanvi"/>
    <s v="Mishra"/>
    <x v="0"/>
    <s v="Corporate"/>
    <d v="2025-02-16T00:00:00"/>
  </r>
  <r>
    <n v="53"/>
    <x v="22"/>
    <n v="8"/>
    <n v="1"/>
    <n v="299"/>
    <n v="0"/>
    <n v="299"/>
    <n v="8"/>
    <x v="5"/>
    <x v="2"/>
    <n v="299"/>
    <n v="110"/>
    <n v="1023"/>
    <x v="14"/>
    <x v="19"/>
    <x v="3"/>
    <s v="Debit Card"/>
    <n v="0"/>
    <x v="14"/>
    <s v="Tanvi"/>
    <s v="Mishra"/>
    <x v="0"/>
    <s v="Corporate"/>
    <d v="2025-02-16T00:00:00"/>
  </r>
  <r>
    <n v="54"/>
    <x v="23"/>
    <n v="3"/>
    <n v="1"/>
    <n v="1799"/>
    <n v="0.15"/>
    <n v="1529"/>
    <n v="3"/>
    <x v="1"/>
    <x v="0"/>
    <n v="1799"/>
    <n v="980"/>
    <n v="1024"/>
    <x v="18"/>
    <x v="20"/>
    <x v="3"/>
    <s v="Cash on Delivery"/>
    <n v="0"/>
    <x v="18"/>
    <s v="Aarav"/>
    <s v="Kumar"/>
    <x v="6"/>
    <s v="Small Business"/>
    <d v="2024-10-16T00:00:00"/>
  </r>
  <r>
    <n v="55"/>
    <x v="24"/>
    <n v="10"/>
    <n v="2"/>
    <n v="599"/>
    <n v="0.2"/>
    <n v="958"/>
    <n v="10"/>
    <x v="18"/>
    <x v="3"/>
    <n v="599"/>
    <n v="260"/>
    <n v="1025"/>
    <x v="9"/>
    <x v="21"/>
    <x v="0"/>
    <s v="Credit Card"/>
    <n v="1"/>
    <x v="9"/>
    <s v="Rahul"/>
    <s v="Mehta"/>
    <x v="3"/>
    <s v="Corporate"/>
    <d v="2023-02-02T00:00:00"/>
  </r>
  <r>
    <n v="56"/>
    <x v="24"/>
    <n v="6"/>
    <n v="1"/>
    <n v="1899"/>
    <n v="0.2"/>
    <n v="1519"/>
    <n v="6"/>
    <x v="7"/>
    <x v="1"/>
    <n v="1899"/>
    <n v="950"/>
    <n v="1025"/>
    <x v="9"/>
    <x v="21"/>
    <x v="0"/>
    <s v="Credit Card"/>
    <n v="1"/>
    <x v="9"/>
    <s v="Rahul"/>
    <s v="Mehta"/>
    <x v="3"/>
    <s v="Corporate"/>
    <d v="2023-02-02T00:00:00"/>
  </r>
  <r>
    <n v="57"/>
    <x v="24"/>
    <n v="15"/>
    <n v="1"/>
    <n v="349"/>
    <n v="0.2"/>
    <n v="279"/>
    <n v="15"/>
    <x v="8"/>
    <x v="1"/>
    <n v="349"/>
    <n v="120"/>
    <n v="1025"/>
    <x v="9"/>
    <x v="21"/>
    <x v="0"/>
    <s v="Credit Card"/>
    <n v="1"/>
    <x v="9"/>
    <s v="Rahul"/>
    <s v="Mehta"/>
    <x v="3"/>
    <s v="Corporate"/>
    <d v="2023-02-02T00:00:00"/>
  </r>
  <r>
    <n v="58"/>
    <x v="25"/>
    <n v="4"/>
    <n v="1"/>
    <n v="2199"/>
    <n v="0.05"/>
    <n v="2089"/>
    <n v="4"/>
    <x v="0"/>
    <x v="0"/>
    <n v="2199"/>
    <n v="1250"/>
    <n v="1026"/>
    <x v="19"/>
    <x v="22"/>
    <x v="1"/>
    <s v="Credit Card"/>
    <n v="1"/>
    <x v="19"/>
    <s v="Siddhi"/>
    <s v="Verma"/>
    <x v="1"/>
    <s v="Consumer"/>
    <d v="2025-04-08T00:00:00"/>
  </r>
  <r>
    <n v="59"/>
    <x v="25"/>
    <n v="20"/>
    <n v="1"/>
    <n v="449"/>
    <n v="0.2"/>
    <n v="359"/>
    <n v="20"/>
    <x v="16"/>
    <x v="2"/>
    <n v="449"/>
    <n v="180"/>
    <n v="1026"/>
    <x v="19"/>
    <x v="22"/>
    <x v="1"/>
    <s v="Credit Card"/>
    <n v="1"/>
    <x v="19"/>
    <s v="Siddhi"/>
    <s v="Verma"/>
    <x v="1"/>
    <s v="Consumer"/>
    <d v="2025-04-08T00:00:00"/>
  </r>
  <r>
    <n v="60"/>
    <x v="25"/>
    <n v="18"/>
    <n v="1"/>
    <n v="3299"/>
    <n v="0.2"/>
    <n v="2639"/>
    <n v="18"/>
    <x v="6"/>
    <x v="3"/>
    <n v="3299"/>
    <n v="2050"/>
    <n v="1026"/>
    <x v="19"/>
    <x v="22"/>
    <x v="1"/>
    <s v="Credit Card"/>
    <n v="1"/>
    <x v="19"/>
    <s v="Siddhi"/>
    <s v="Verma"/>
    <x v="1"/>
    <s v="Consumer"/>
    <d v="2025-04-08T00:00:00"/>
  </r>
  <r>
    <n v="61"/>
    <x v="26"/>
    <n v="14"/>
    <n v="2"/>
    <n v="2499"/>
    <n v="0"/>
    <n v="4998"/>
    <n v="14"/>
    <x v="17"/>
    <x v="0"/>
    <n v="2499"/>
    <n v="1500"/>
    <n v="1027"/>
    <x v="9"/>
    <x v="23"/>
    <x v="0"/>
    <s v="UPI"/>
    <n v="3"/>
    <x v="9"/>
    <s v="Rahul"/>
    <s v="Mehta"/>
    <x v="3"/>
    <s v="Corporate"/>
    <d v="2023-02-02T00:00:00"/>
  </r>
  <r>
    <n v="62"/>
    <x v="27"/>
    <n v="6"/>
    <n v="2"/>
    <n v="1899"/>
    <n v="0.15"/>
    <n v="3228"/>
    <n v="6"/>
    <x v="7"/>
    <x v="1"/>
    <n v="1899"/>
    <n v="950"/>
    <n v="1028"/>
    <x v="18"/>
    <x v="24"/>
    <x v="2"/>
    <s v="Credit Card"/>
    <n v="0"/>
    <x v="18"/>
    <s v="Aarav"/>
    <s v="Kumar"/>
    <x v="6"/>
    <s v="Small Business"/>
    <d v="2024-10-16T00:00:00"/>
  </r>
  <r>
    <n v="63"/>
    <x v="27"/>
    <n v="15"/>
    <n v="1"/>
    <n v="349"/>
    <n v="0"/>
    <n v="349"/>
    <n v="15"/>
    <x v="8"/>
    <x v="1"/>
    <n v="349"/>
    <n v="120"/>
    <n v="1028"/>
    <x v="18"/>
    <x v="24"/>
    <x v="2"/>
    <s v="Credit Card"/>
    <n v="0"/>
    <x v="18"/>
    <s v="Aarav"/>
    <s v="Kumar"/>
    <x v="6"/>
    <s v="Small Business"/>
    <d v="2024-10-16T00:00:00"/>
  </r>
  <r>
    <n v="64"/>
    <x v="27"/>
    <n v="18"/>
    <n v="3"/>
    <n v="3299"/>
    <n v="0.2"/>
    <n v="7918"/>
    <n v="18"/>
    <x v="6"/>
    <x v="3"/>
    <n v="3299"/>
    <n v="2050"/>
    <n v="1028"/>
    <x v="18"/>
    <x v="24"/>
    <x v="2"/>
    <s v="Credit Card"/>
    <n v="0"/>
    <x v="18"/>
    <s v="Aarav"/>
    <s v="Kumar"/>
    <x v="6"/>
    <s v="Small Business"/>
    <d v="2024-10-16T00:00:00"/>
  </r>
  <r>
    <n v="65"/>
    <x v="28"/>
    <n v="14"/>
    <n v="1"/>
    <n v="2499"/>
    <n v="0.05"/>
    <n v="2374"/>
    <n v="14"/>
    <x v="17"/>
    <x v="0"/>
    <n v="2499"/>
    <n v="1500"/>
    <n v="1029"/>
    <x v="20"/>
    <x v="25"/>
    <x v="0"/>
    <s v="Debit Card"/>
    <n v="7"/>
    <x v="20"/>
    <s v="Saanvi"/>
    <s v="Das"/>
    <x v="9"/>
    <s v="Small Business"/>
    <d v="2023-04-15T00:00:00"/>
  </r>
  <r>
    <n v="66"/>
    <x v="28"/>
    <n v="5"/>
    <n v="2"/>
    <n v="1299"/>
    <n v="0"/>
    <n v="2598"/>
    <n v="5"/>
    <x v="4"/>
    <x v="1"/>
    <n v="1299"/>
    <n v="650"/>
    <n v="1029"/>
    <x v="20"/>
    <x v="25"/>
    <x v="0"/>
    <s v="Debit Card"/>
    <n v="7"/>
    <x v="20"/>
    <s v="Saanvi"/>
    <s v="Das"/>
    <x v="9"/>
    <s v="Small Business"/>
    <d v="2023-04-15T00:00:00"/>
  </r>
  <r>
    <n v="67"/>
    <x v="29"/>
    <n v="18"/>
    <n v="2"/>
    <n v="3299"/>
    <n v="0"/>
    <n v="6598"/>
    <n v="18"/>
    <x v="6"/>
    <x v="3"/>
    <n v="3299"/>
    <n v="2050"/>
    <n v="1030"/>
    <x v="21"/>
    <x v="26"/>
    <x v="1"/>
    <s v="UPI"/>
    <n v="2"/>
    <x v="21"/>
    <s v="Sai"/>
    <s v="Iyer"/>
    <x v="8"/>
    <s v="Corporate"/>
    <d v="2024-09-08T00:00:00"/>
  </r>
  <r>
    <n v="68"/>
    <x v="29"/>
    <n v="14"/>
    <n v="2"/>
    <n v="2499"/>
    <n v="0"/>
    <n v="4998"/>
    <n v="14"/>
    <x v="17"/>
    <x v="0"/>
    <n v="2499"/>
    <n v="1500"/>
    <n v="1030"/>
    <x v="21"/>
    <x v="26"/>
    <x v="1"/>
    <s v="UPI"/>
    <n v="2"/>
    <x v="21"/>
    <s v="Sai"/>
    <s v="Iyer"/>
    <x v="8"/>
    <s v="Corporate"/>
    <d v="2024-09-08T00:00:00"/>
  </r>
  <r>
    <n v="69"/>
    <x v="29"/>
    <n v="5"/>
    <n v="2"/>
    <n v="1299"/>
    <n v="0"/>
    <n v="2598"/>
    <n v="5"/>
    <x v="4"/>
    <x v="1"/>
    <n v="1299"/>
    <n v="650"/>
    <n v="1030"/>
    <x v="21"/>
    <x v="26"/>
    <x v="1"/>
    <s v="UPI"/>
    <n v="2"/>
    <x v="21"/>
    <s v="Sai"/>
    <s v="Iyer"/>
    <x v="8"/>
    <s v="Corporate"/>
    <d v="2024-09-08T00:00:00"/>
  </r>
  <r>
    <n v="70"/>
    <x v="30"/>
    <n v="9"/>
    <n v="2"/>
    <n v="199"/>
    <n v="0"/>
    <n v="398"/>
    <n v="9"/>
    <x v="13"/>
    <x v="2"/>
    <n v="199"/>
    <n v="65"/>
    <n v="1031"/>
    <x v="22"/>
    <x v="24"/>
    <x v="2"/>
    <s v="Net Banking"/>
    <n v="0"/>
    <x v="22"/>
    <s v="Priya"/>
    <s v="Chowdhury"/>
    <x v="4"/>
    <s v="Consumer"/>
    <d v="2025-01-28T00:00:00"/>
  </r>
  <r>
    <n v="71"/>
    <x v="30"/>
    <n v="6"/>
    <n v="1"/>
    <n v="1899"/>
    <n v="0"/>
    <n v="1899"/>
    <n v="6"/>
    <x v="7"/>
    <x v="1"/>
    <n v="1899"/>
    <n v="950"/>
    <n v="1031"/>
    <x v="22"/>
    <x v="24"/>
    <x v="2"/>
    <s v="Net Banking"/>
    <n v="0"/>
    <x v="22"/>
    <s v="Priya"/>
    <s v="Chowdhury"/>
    <x v="4"/>
    <s v="Consumer"/>
    <d v="2025-01-28T00:00:00"/>
  </r>
  <r>
    <n v="72"/>
    <x v="31"/>
    <n v="10"/>
    <n v="1"/>
    <n v="599"/>
    <n v="0"/>
    <n v="599"/>
    <n v="10"/>
    <x v="18"/>
    <x v="3"/>
    <n v="599"/>
    <n v="260"/>
    <n v="1032"/>
    <x v="15"/>
    <x v="27"/>
    <x v="0"/>
    <s v="Net Banking"/>
    <n v="7"/>
    <x v="15"/>
    <s v="Nikhil"/>
    <s v="Nair"/>
    <x v="6"/>
    <s v="Small Business"/>
    <d v="2024-03-05T00:00:00"/>
  </r>
  <r>
    <n v="73"/>
    <x v="31"/>
    <n v="8"/>
    <n v="1"/>
    <n v="299"/>
    <n v="0.05"/>
    <n v="284"/>
    <n v="8"/>
    <x v="5"/>
    <x v="2"/>
    <n v="299"/>
    <n v="110"/>
    <n v="1032"/>
    <x v="15"/>
    <x v="27"/>
    <x v="0"/>
    <s v="Net Banking"/>
    <n v="7"/>
    <x v="15"/>
    <s v="Nikhil"/>
    <s v="Nair"/>
    <x v="6"/>
    <s v="Small Business"/>
    <d v="2024-03-05T00:00:00"/>
  </r>
  <r>
    <n v="74"/>
    <x v="31"/>
    <n v="19"/>
    <n v="2"/>
    <n v="499"/>
    <n v="0.05"/>
    <n v="948"/>
    <n v="19"/>
    <x v="10"/>
    <x v="1"/>
    <n v="499"/>
    <n v="220"/>
    <n v="1032"/>
    <x v="15"/>
    <x v="27"/>
    <x v="0"/>
    <s v="Net Banking"/>
    <n v="7"/>
    <x v="15"/>
    <s v="Nikhil"/>
    <s v="Nair"/>
    <x v="6"/>
    <s v="Small Business"/>
    <d v="2024-03-05T00:00:00"/>
  </r>
  <r>
    <n v="75"/>
    <x v="32"/>
    <n v="1"/>
    <n v="1"/>
    <n v="799"/>
    <n v="0.05"/>
    <n v="759"/>
    <n v="1"/>
    <x v="12"/>
    <x v="0"/>
    <n v="799"/>
    <n v="420"/>
    <n v="1033"/>
    <x v="21"/>
    <x v="28"/>
    <x v="3"/>
    <s v="Net Banking"/>
    <n v="0"/>
    <x v="21"/>
    <s v="Sai"/>
    <s v="Iyer"/>
    <x v="8"/>
    <s v="Corporate"/>
    <d v="2024-09-08T00:00:00"/>
  </r>
  <r>
    <n v="76"/>
    <x v="32"/>
    <n v="4"/>
    <n v="1"/>
    <n v="2199"/>
    <n v="0.15"/>
    <n v="1869"/>
    <n v="4"/>
    <x v="0"/>
    <x v="0"/>
    <n v="2199"/>
    <n v="1250"/>
    <n v="1033"/>
    <x v="21"/>
    <x v="28"/>
    <x v="3"/>
    <s v="Net Banking"/>
    <n v="0"/>
    <x v="21"/>
    <s v="Sai"/>
    <s v="Iyer"/>
    <x v="8"/>
    <s v="Corporate"/>
    <d v="2024-09-08T00:00:00"/>
  </r>
  <r>
    <n v="77"/>
    <x v="32"/>
    <n v="9"/>
    <n v="1"/>
    <n v="199"/>
    <n v="0.2"/>
    <n v="159"/>
    <n v="9"/>
    <x v="13"/>
    <x v="2"/>
    <n v="199"/>
    <n v="65"/>
    <n v="1033"/>
    <x v="21"/>
    <x v="28"/>
    <x v="3"/>
    <s v="Net Banking"/>
    <n v="0"/>
    <x v="21"/>
    <s v="Sai"/>
    <s v="Iyer"/>
    <x v="8"/>
    <s v="Corporate"/>
    <d v="2024-09-08T00:00:00"/>
  </r>
  <r>
    <n v="78"/>
    <x v="33"/>
    <n v="13"/>
    <n v="2"/>
    <n v="10999"/>
    <n v="0"/>
    <n v="21998"/>
    <n v="13"/>
    <x v="2"/>
    <x v="0"/>
    <n v="10999"/>
    <n v="7900"/>
    <n v="1034"/>
    <x v="10"/>
    <x v="29"/>
    <x v="3"/>
    <s v="Cash on Delivery"/>
    <n v="0"/>
    <x v="10"/>
    <s v="Vikram"/>
    <s v="Kumar"/>
    <x v="6"/>
    <s v="Consumer"/>
    <d v="2023-08-27T00:00:00"/>
  </r>
  <r>
    <n v="79"/>
    <x v="34"/>
    <n v="12"/>
    <n v="1"/>
    <n v="399"/>
    <n v="0.2"/>
    <n v="319"/>
    <n v="12"/>
    <x v="15"/>
    <x v="4"/>
    <n v="399"/>
    <n v="140"/>
    <n v="1035"/>
    <x v="9"/>
    <x v="30"/>
    <x v="1"/>
    <s v="UPI"/>
    <n v="4"/>
    <x v="9"/>
    <s v="Rahul"/>
    <s v="Mehta"/>
    <x v="3"/>
    <s v="Corporate"/>
    <d v="2023-02-02T00:00:00"/>
  </r>
  <r>
    <n v="80"/>
    <x v="34"/>
    <n v="14"/>
    <n v="2"/>
    <n v="2499"/>
    <n v="0.15"/>
    <n v="4248"/>
    <n v="14"/>
    <x v="17"/>
    <x v="0"/>
    <n v="2499"/>
    <n v="1500"/>
    <n v="1035"/>
    <x v="9"/>
    <x v="30"/>
    <x v="1"/>
    <s v="UPI"/>
    <n v="4"/>
    <x v="9"/>
    <s v="Rahul"/>
    <s v="Mehta"/>
    <x v="3"/>
    <s v="Corporate"/>
    <d v="2023-02-02T00:00:00"/>
  </r>
  <r>
    <n v="81"/>
    <x v="35"/>
    <n v="17"/>
    <n v="1"/>
    <n v="8499"/>
    <n v="0.2"/>
    <n v="6799"/>
    <n v="17"/>
    <x v="14"/>
    <x v="4"/>
    <n v="8499"/>
    <n v="6100"/>
    <n v="1036"/>
    <x v="10"/>
    <x v="31"/>
    <x v="2"/>
    <s v="UPI"/>
    <n v="0"/>
    <x v="10"/>
    <s v="Vikram"/>
    <s v="Kumar"/>
    <x v="6"/>
    <s v="Consumer"/>
    <d v="2023-08-27T00:00:00"/>
  </r>
  <r>
    <n v="82"/>
    <x v="35"/>
    <n v="10"/>
    <n v="1"/>
    <n v="599"/>
    <n v="0"/>
    <n v="599"/>
    <n v="10"/>
    <x v="18"/>
    <x v="3"/>
    <n v="599"/>
    <n v="260"/>
    <n v="1036"/>
    <x v="10"/>
    <x v="31"/>
    <x v="2"/>
    <s v="UPI"/>
    <n v="0"/>
    <x v="10"/>
    <s v="Vikram"/>
    <s v="Kumar"/>
    <x v="6"/>
    <s v="Consumer"/>
    <d v="2023-08-27T00:00:00"/>
  </r>
  <r>
    <n v="83"/>
    <x v="35"/>
    <n v="14"/>
    <n v="1"/>
    <n v="2499"/>
    <n v="0.2"/>
    <n v="1999"/>
    <n v="14"/>
    <x v="17"/>
    <x v="0"/>
    <n v="2499"/>
    <n v="1500"/>
    <n v="1036"/>
    <x v="10"/>
    <x v="31"/>
    <x v="2"/>
    <s v="UPI"/>
    <n v="0"/>
    <x v="10"/>
    <s v="Vikram"/>
    <s v="Kumar"/>
    <x v="6"/>
    <s v="Consumer"/>
    <d v="2023-08-27T00:00:00"/>
  </r>
  <r>
    <n v="84"/>
    <x v="36"/>
    <n v="13"/>
    <n v="1"/>
    <n v="10999"/>
    <n v="0"/>
    <n v="10999"/>
    <n v="13"/>
    <x v="2"/>
    <x v="0"/>
    <n v="10999"/>
    <n v="7900"/>
    <n v="1037"/>
    <x v="7"/>
    <x v="32"/>
    <x v="1"/>
    <s v="Cash on Delivery"/>
    <n v="2"/>
    <x v="7"/>
    <s v="Manav"/>
    <s v="Pillai"/>
    <x v="2"/>
    <s v="Small Business"/>
    <d v="2024-07-28T00:00:00"/>
  </r>
  <r>
    <n v="85"/>
    <x v="36"/>
    <n v="18"/>
    <n v="1"/>
    <n v="3299"/>
    <n v="0.15"/>
    <n v="2804"/>
    <n v="18"/>
    <x v="6"/>
    <x v="3"/>
    <n v="3299"/>
    <n v="2050"/>
    <n v="1037"/>
    <x v="7"/>
    <x v="32"/>
    <x v="1"/>
    <s v="Cash on Delivery"/>
    <n v="2"/>
    <x v="7"/>
    <s v="Manav"/>
    <s v="Pillai"/>
    <x v="2"/>
    <s v="Small Business"/>
    <d v="2024-07-28T00:00:00"/>
  </r>
  <r>
    <n v="86"/>
    <x v="36"/>
    <n v="1"/>
    <n v="1"/>
    <n v="799"/>
    <n v="0.05"/>
    <n v="759"/>
    <n v="1"/>
    <x v="12"/>
    <x v="0"/>
    <n v="799"/>
    <n v="420"/>
    <n v="1037"/>
    <x v="7"/>
    <x v="32"/>
    <x v="1"/>
    <s v="Cash on Delivery"/>
    <n v="2"/>
    <x v="7"/>
    <s v="Manav"/>
    <s v="Pillai"/>
    <x v="2"/>
    <s v="Small Business"/>
    <d v="2024-07-28T00:00:00"/>
  </r>
  <r>
    <n v="87"/>
    <x v="37"/>
    <n v="6"/>
    <n v="2"/>
    <n v="1899"/>
    <n v="0.15"/>
    <n v="3228"/>
    <n v="6"/>
    <x v="7"/>
    <x v="1"/>
    <n v="1899"/>
    <n v="950"/>
    <n v="1038"/>
    <x v="23"/>
    <x v="33"/>
    <x v="0"/>
    <s v="Credit Card"/>
    <n v="6"/>
    <x v="23"/>
    <s v="Riya"/>
    <s v="Das"/>
    <x v="9"/>
    <s v="Consumer"/>
    <d v="2024-07-12T00:00:00"/>
  </r>
  <r>
    <n v="88"/>
    <x v="37"/>
    <n v="3"/>
    <n v="1"/>
    <n v="1799"/>
    <n v="0"/>
    <n v="1799"/>
    <n v="3"/>
    <x v="1"/>
    <x v="0"/>
    <n v="1799"/>
    <n v="980"/>
    <n v="1038"/>
    <x v="23"/>
    <x v="33"/>
    <x v="0"/>
    <s v="Credit Card"/>
    <n v="6"/>
    <x v="23"/>
    <s v="Riya"/>
    <s v="Das"/>
    <x v="9"/>
    <s v="Consumer"/>
    <d v="2024-07-12T00:00:00"/>
  </r>
  <r>
    <n v="89"/>
    <x v="37"/>
    <n v="10"/>
    <n v="2"/>
    <n v="599"/>
    <n v="0"/>
    <n v="1198"/>
    <n v="10"/>
    <x v="18"/>
    <x v="3"/>
    <n v="599"/>
    <n v="260"/>
    <n v="1038"/>
    <x v="23"/>
    <x v="33"/>
    <x v="0"/>
    <s v="Credit Card"/>
    <n v="6"/>
    <x v="23"/>
    <s v="Riya"/>
    <s v="Das"/>
    <x v="9"/>
    <s v="Consumer"/>
    <d v="2024-07-12T00:00:00"/>
  </r>
  <r>
    <n v="90"/>
    <x v="37"/>
    <n v="17"/>
    <n v="2"/>
    <n v="8499"/>
    <n v="0"/>
    <n v="16998"/>
    <n v="17"/>
    <x v="14"/>
    <x v="4"/>
    <n v="8499"/>
    <n v="6100"/>
    <n v="1038"/>
    <x v="23"/>
    <x v="33"/>
    <x v="0"/>
    <s v="Credit Card"/>
    <n v="6"/>
    <x v="23"/>
    <s v="Riya"/>
    <s v="Das"/>
    <x v="9"/>
    <s v="Consumer"/>
    <d v="2024-07-12T00:00:00"/>
  </r>
  <r>
    <n v="91"/>
    <x v="38"/>
    <n v="15"/>
    <n v="1"/>
    <n v="349"/>
    <n v="0.2"/>
    <n v="279"/>
    <n v="15"/>
    <x v="8"/>
    <x v="1"/>
    <n v="349"/>
    <n v="120"/>
    <n v="1039"/>
    <x v="24"/>
    <x v="34"/>
    <x v="0"/>
    <s v="Cash on Delivery"/>
    <n v="4"/>
    <x v="24"/>
    <s v="Diya"/>
    <s v="Gupta"/>
    <x v="4"/>
    <s v="Corporate"/>
    <d v="2023-04-25T00:00:00"/>
  </r>
  <r>
    <n v="92"/>
    <x v="39"/>
    <n v="13"/>
    <n v="2"/>
    <n v="10999"/>
    <n v="0"/>
    <n v="21998"/>
    <n v="13"/>
    <x v="2"/>
    <x v="0"/>
    <n v="10999"/>
    <n v="7900"/>
    <n v="1040"/>
    <x v="25"/>
    <x v="35"/>
    <x v="1"/>
    <s v="Net Banking"/>
    <n v="6"/>
    <x v="25"/>
    <s v="Harsh"/>
    <s v="Mehta"/>
    <x v="3"/>
    <s v="Small Business"/>
    <d v="2023-01-07T00:00:00"/>
  </r>
  <r>
    <n v="93"/>
    <x v="39"/>
    <n v="8"/>
    <n v="2"/>
    <n v="299"/>
    <n v="0"/>
    <n v="598"/>
    <n v="8"/>
    <x v="5"/>
    <x v="2"/>
    <n v="299"/>
    <n v="110"/>
    <n v="1040"/>
    <x v="25"/>
    <x v="35"/>
    <x v="1"/>
    <s v="Net Banking"/>
    <n v="6"/>
    <x v="25"/>
    <s v="Harsh"/>
    <s v="Mehta"/>
    <x v="3"/>
    <s v="Small Business"/>
    <d v="2023-01-07T00:00:00"/>
  </r>
  <r>
    <n v="94"/>
    <x v="39"/>
    <n v="5"/>
    <n v="1"/>
    <n v="1299"/>
    <n v="0.2"/>
    <n v="1039"/>
    <n v="5"/>
    <x v="4"/>
    <x v="1"/>
    <n v="1299"/>
    <n v="650"/>
    <n v="1040"/>
    <x v="25"/>
    <x v="35"/>
    <x v="1"/>
    <s v="Net Banking"/>
    <n v="6"/>
    <x v="25"/>
    <s v="Harsh"/>
    <s v="Mehta"/>
    <x v="3"/>
    <s v="Small Business"/>
    <d v="2023-01-07T00:00:00"/>
  </r>
  <r>
    <n v="95"/>
    <x v="39"/>
    <n v="1"/>
    <n v="1"/>
    <n v="799"/>
    <n v="0"/>
    <n v="799"/>
    <n v="1"/>
    <x v="12"/>
    <x v="0"/>
    <n v="799"/>
    <n v="420"/>
    <n v="1040"/>
    <x v="25"/>
    <x v="35"/>
    <x v="1"/>
    <s v="Net Banking"/>
    <n v="6"/>
    <x v="25"/>
    <s v="Harsh"/>
    <s v="Mehta"/>
    <x v="3"/>
    <s v="Small Business"/>
    <d v="2023-01-07T00:00:00"/>
  </r>
  <r>
    <n v="96"/>
    <x v="40"/>
    <n v="5"/>
    <n v="3"/>
    <n v="1299"/>
    <n v="0.1"/>
    <n v="3507"/>
    <n v="5"/>
    <x v="4"/>
    <x v="1"/>
    <n v="1299"/>
    <n v="650"/>
    <n v="1041"/>
    <x v="19"/>
    <x v="36"/>
    <x v="2"/>
    <s v="UPI"/>
    <n v="0"/>
    <x v="19"/>
    <s v="Siddhi"/>
    <s v="Verma"/>
    <x v="1"/>
    <s v="Consumer"/>
    <d v="2025-04-08T00:00:00"/>
  </r>
  <r>
    <n v="97"/>
    <x v="40"/>
    <n v="15"/>
    <n v="1"/>
    <n v="349"/>
    <n v="0.2"/>
    <n v="279"/>
    <n v="15"/>
    <x v="8"/>
    <x v="1"/>
    <n v="349"/>
    <n v="120"/>
    <n v="1041"/>
    <x v="19"/>
    <x v="36"/>
    <x v="2"/>
    <s v="UPI"/>
    <n v="0"/>
    <x v="19"/>
    <s v="Siddhi"/>
    <s v="Verma"/>
    <x v="1"/>
    <s v="Consumer"/>
    <d v="2025-04-08T00:00:00"/>
  </r>
  <r>
    <n v="98"/>
    <x v="40"/>
    <n v="17"/>
    <n v="2"/>
    <n v="8499"/>
    <n v="0.1"/>
    <n v="15298"/>
    <n v="17"/>
    <x v="14"/>
    <x v="4"/>
    <n v="8499"/>
    <n v="6100"/>
    <n v="1041"/>
    <x v="19"/>
    <x v="36"/>
    <x v="2"/>
    <s v="UPI"/>
    <n v="0"/>
    <x v="19"/>
    <s v="Siddhi"/>
    <s v="Verma"/>
    <x v="1"/>
    <s v="Consumer"/>
    <d v="2025-04-08T00:00:00"/>
  </r>
  <r>
    <n v="99"/>
    <x v="40"/>
    <n v="11"/>
    <n v="2"/>
    <n v="1099"/>
    <n v="0.15"/>
    <n v="1868"/>
    <n v="11"/>
    <x v="19"/>
    <x v="3"/>
    <n v="1099"/>
    <n v="570"/>
    <n v="1041"/>
    <x v="19"/>
    <x v="36"/>
    <x v="2"/>
    <s v="UPI"/>
    <n v="0"/>
    <x v="19"/>
    <s v="Siddhi"/>
    <s v="Verma"/>
    <x v="1"/>
    <s v="Consumer"/>
    <d v="2025-04-08T00:00:00"/>
  </r>
  <r>
    <n v="100"/>
    <x v="41"/>
    <n v="9"/>
    <n v="1"/>
    <n v="199"/>
    <n v="0"/>
    <n v="199"/>
    <n v="9"/>
    <x v="13"/>
    <x v="2"/>
    <n v="199"/>
    <n v="65"/>
    <n v="1042"/>
    <x v="12"/>
    <x v="37"/>
    <x v="1"/>
    <s v="Net Banking"/>
    <n v="7"/>
    <x v="12"/>
    <s v="Ayaan"/>
    <s v="Naidu"/>
    <x v="7"/>
    <s v="Corporate"/>
    <d v="2024-12-19T00:00:00"/>
  </r>
  <r>
    <n v="101"/>
    <x v="41"/>
    <n v="8"/>
    <n v="1"/>
    <n v="299"/>
    <n v="0"/>
    <n v="299"/>
    <n v="8"/>
    <x v="5"/>
    <x v="2"/>
    <n v="299"/>
    <n v="110"/>
    <n v="1042"/>
    <x v="12"/>
    <x v="37"/>
    <x v="1"/>
    <s v="Net Banking"/>
    <n v="7"/>
    <x v="12"/>
    <s v="Ayaan"/>
    <s v="Naidu"/>
    <x v="7"/>
    <s v="Corporate"/>
    <d v="2024-12-19T00:00:00"/>
  </r>
  <r>
    <n v="102"/>
    <x v="41"/>
    <n v="20"/>
    <n v="2"/>
    <n v="449"/>
    <n v="0"/>
    <n v="898"/>
    <n v="20"/>
    <x v="16"/>
    <x v="2"/>
    <n v="449"/>
    <n v="180"/>
    <n v="1042"/>
    <x v="12"/>
    <x v="37"/>
    <x v="1"/>
    <s v="Net Banking"/>
    <n v="7"/>
    <x v="12"/>
    <s v="Ayaan"/>
    <s v="Naidu"/>
    <x v="7"/>
    <s v="Corporate"/>
    <d v="2024-12-19T00:00:00"/>
  </r>
  <r>
    <n v="103"/>
    <x v="41"/>
    <n v="17"/>
    <n v="1"/>
    <n v="8499"/>
    <n v="0.05"/>
    <n v="8074"/>
    <n v="17"/>
    <x v="14"/>
    <x v="4"/>
    <n v="8499"/>
    <n v="6100"/>
    <n v="1042"/>
    <x v="12"/>
    <x v="37"/>
    <x v="1"/>
    <s v="Net Banking"/>
    <n v="7"/>
    <x v="12"/>
    <s v="Ayaan"/>
    <s v="Naidu"/>
    <x v="7"/>
    <s v="Corporate"/>
    <d v="2024-12-19T00:00:00"/>
  </r>
  <r>
    <n v="104"/>
    <x v="42"/>
    <n v="5"/>
    <n v="1"/>
    <n v="1299"/>
    <n v="0.15"/>
    <n v="1104"/>
    <n v="5"/>
    <x v="4"/>
    <x v="1"/>
    <n v="1299"/>
    <n v="650"/>
    <n v="1043"/>
    <x v="26"/>
    <x v="38"/>
    <x v="0"/>
    <s v="Credit Card"/>
    <n v="2"/>
    <x v="26"/>
    <s v="Krishna"/>
    <s v="Singh"/>
    <x v="2"/>
    <s v="Corporate"/>
    <d v="2023-10-12T00:00:00"/>
  </r>
  <r>
    <n v="105"/>
    <x v="42"/>
    <n v="7"/>
    <n v="1"/>
    <n v="999"/>
    <n v="0"/>
    <n v="999"/>
    <n v="7"/>
    <x v="11"/>
    <x v="4"/>
    <n v="999"/>
    <n v="480"/>
    <n v="1043"/>
    <x v="26"/>
    <x v="38"/>
    <x v="0"/>
    <s v="Credit Card"/>
    <n v="2"/>
    <x v="26"/>
    <s v="Krishna"/>
    <s v="Singh"/>
    <x v="2"/>
    <s v="Corporate"/>
    <d v="2023-10-12T00:00:00"/>
  </r>
  <r>
    <n v="106"/>
    <x v="42"/>
    <n v="3"/>
    <n v="1"/>
    <n v="1799"/>
    <n v="0.1"/>
    <n v="1619"/>
    <n v="3"/>
    <x v="1"/>
    <x v="0"/>
    <n v="1799"/>
    <n v="980"/>
    <n v="1043"/>
    <x v="26"/>
    <x v="38"/>
    <x v="0"/>
    <s v="Credit Card"/>
    <n v="2"/>
    <x v="26"/>
    <s v="Krishna"/>
    <s v="Singh"/>
    <x v="2"/>
    <s v="Corporate"/>
    <d v="2023-10-12T00:00:00"/>
  </r>
  <r>
    <n v="107"/>
    <x v="42"/>
    <n v="14"/>
    <n v="1"/>
    <n v="2499"/>
    <n v="0.15"/>
    <n v="2124"/>
    <n v="14"/>
    <x v="17"/>
    <x v="0"/>
    <n v="2499"/>
    <n v="1500"/>
    <n v="1043"/>
    <x v="26"/>
    <x v="38"/>
    <x v="0"/>
    <s v="Credit Card"/>
    <n v="2"/>
    <x v="26"/>
    <s v="Krishna"/>
    <s v="Singh"/>
    <x v="2"/>
    <s v="Corporate"/>
    <d v="2023-10-12T00:00:00"/>
  </r>
  <r>
    <n v="108"/>
    <x v="43"/>
    <n v="10"/>
    <n v="1"/>
    <n v="599"/>
    <n v="0.2"/>
    <n v="479"/>
    <n v="10"/>
    <x v="18"/>
    <x v="3"/>
    <n v="599"/>
    <n v="260"/>
    <n v="1044"/>
    <x v="24"/>
    <x v="39"/>
    <x v="0"/>
    <s v="UPI"/>
    <n v="4"/>
    <x v="24"/>
    <s v="Diya"/>
    <s v="Gupta"/>
    <x v="4"/>
    <s v="Corporate"/>
    <d v="2023-04-25T00:00:00"/>
  </r>
  <r>
    <n v="109"/>
    <x v="43"/>
    <n v="13"/>
    <n v="1"/>
    <n v="10999"/>
    <n v="0.15"/>
    <n v="9349"/>
    <n v="13"/>
    <x v="2"/>
    <x v="0"/>
    <n v="10999"/>
    <n v="7900"/>
    <n v="1044"/>
    <x v="24"/>
    <x v="39"/>
    <x v="0"/>
    <s v="UPI"/>
    <n v="4"/>
    <x v="24"/>
    <s v="Diya"/>
    <s v="Gupta"/>
    <x v="4"/>
    <s v="Corporate"/>
    <d v="2023-04-25T00:00:00"/>
  </r>
  <r>
    <n v="110"/>
    <x v="43"/>
    <n v="14"/>
    <n v="2"/>
    <n v="2499"/>
    <n v="0.1"/>
    <n v="4498"/>
    <n v="14"/>
    <x v="17"/>
    <x v="0"/>
    <n v="2499"/>
    <n v="1500"/>
    <n v="1044"/>
    <x v="24"/>
    <x v="39"/>
    <x v="0"/>
    <s v="UPI"/>
    <n v="4"/>
    <x v="24"/>
    <s v="Diya"/>
    <s v="Gupta"/>
    <x v="4"/>
    <s v="Corporate"/>
    <d v="2023-04-25T00:00:00"/>
  </r>
  <r>
    <n v="111"/>
    <x v="44"/>
    <n v="11"/>
    <n v="2"/>
    <n v="1099"/>
    <n v="0.15"/>
    <n v="1868"/>
    <n v="11"/>
    <x v="19"/>
    <x v="3"/>
    <n v="1099"/>
    <n v="570"/>
    <n v="1045"/>
    <x v="8"/>
    <x v="40"/>
    <x v="0"/>
    <s v="UPI"/>
    <n v="4"/>
    <x v="8"/>
    <s v="Reyansh"/>
    <s v="Singh"/>
    <x v="2"/>
    <s v="Consumer"/>
    <d v="2024-08-27T00:00:00"/>
  </r>
  <r>
    <n v="112"/>
    <x v="44"/>
    <n v="13"/>
    <n v="1"/>
    <n v="10999"/>
    <n v="0.1"/>
    <n v="9899"/>
    <n v="13"/>
    <x v="2"/>
    <x v="0"/>
    <n v="10999"/>
    <n v="7900"/>
    <n v="1045"/>
    <x v="8"/>
    <x v="40"/>
    <x v="0"/>
    <s v="UPI"/>
    <n v="4"/>
    <x v="8"/>
    <s v="Reyansh"/>
    <s v="Singh"/>
    <x v="2"/>
    <s v="Consumer"/>
    <d v="2024-08-27T00:00:00"/>
  </r>
  <r>
    <n v="113"/>
    <x v="44"/>
    <n v="6"/>
    <n v="1"/>
    <n v="1899"/>
    <n v="0.2"/>
    <n v="1519"/>
    <n v="6"/>
    <x v="7"/>
    <x v="1"/>
    <n v="1899"/>
    <n v="950"/>
    <n v="1045"/>
    <x v="8"/>
    <x v="40"/>
    <x v="0"/>
    <s v="UPI"/>
    <n v="4"/>
    <x v="8"/>
    <s v="Reyansh"/>
    <s v="Singh"/>
    <x v="2"/>
    <s v="Consumer"/>
    <d v="2024-08-27T00:00:00"/>
  </r>
  <r>
    <n v="114"/>
    <x v="44"/>
    <n v="15"/>
    <n v="1"/>
    <n v="349"/>
    <n v="0.2"/>
    <n v="279"/>
    <n v="15"/>
    <x v="8"/>
    <x v="1"/>
    <n v="349"/>
    <n v="120"/>
    <n v="1045"/>
    <x v="8"/>
    <x v="40"/>
    <x v="0"/>
    <s v="UPI"/>
    <n v="4"/>
    <x v="8"/>
    <s v="Reyansh"/>
    <s v="Singh"/>
    <x v="2"/>
    <s v="Consumer"/>
    <d v="2024-08-27T00:00:00"/>
  </r>
  <r>
    <n v="115"/>
    <x v="45"/>
    <n v="2"/>
    <n v="1"/>
    <n v="2499"/>
    <n v="0"/>
    <n v="2499"/>
    <n v="2"/>
    <x v="3"/>
    <x v="0"/>
    <n v="2499"/>
    <n v="1500"/>
    <n v="1046"/>
    <x v="0"/>
    <x v="41"/>
    <x v="2"/>
    <s v="Net Banking"/>
    <n v="0"/>
    <x v="0"/>
    <s v="Mira"/>
    <s v="Rao"/>
    <x v="0"/>
    <s v="Small Business"/>
    <d v="2024-10-27T00:00:00"/>
  </r>
  <r>
    <n v="116"/>
    <x v="45"/>
    <n v="9"/>
    <n v="1"/>
    <n v="199"/>
    <n v="0.05"/>
    <n v="189"/>
    <n v="9"/>
    <x v="13"/>
    <x v="2"/>
    <n v="199"/>
    <n v="65"/>
    <n v="1046"/>
    <x v="0"/>
    <x v="41"/>
    <x v="2"/>
    <s v="Net Banking"/>
    <n v="0"/>
    <x v="0"/>
    <s v="Mira"/>
    <s v="Rao"/>
    <x v="0"/>
    <s v="Small Business"/>
    <d v="2024-10-27T00:00:00"/>
  </r>
  <r>
    <n v="117"/>
    <x v="46"/>
    <n v="3"/>
    <n v="2"/>
    <n v="1799"/>
    <n v="0"/>
    <n v="3598"/>
    <n v="3"/>
    <x v="1"/>
    <x v="0"/>
    <n v="1799"/>
    <n v="980"/>
    <n v="1047"/>
    <x v="7"/>
    <x v="9"/>
    <x v="2"/>
    <s v="Net Banking"/>
    <n v="0"/>
    <x v="7"/>
    <s v="Manav"/>
    <s v="Pillai"/>
    <x v="2"/>
    <s v="Small Business"/>
    <d v="2024-07-28T00:00:00"/>
  </r>
  <r>
    <n v="118"/>
    <x v="46"/>
    <n v="16"/>
    <n v="3"/>
    <n v="1599"/>
    <n v="0.05"/>
    <n v="4557"/>
    <n v="16"/>
    <x v="9"/>
    <x v="0"/>
    <n v="1599"/>
    <n v="900"/>
    <n v="1047"/>
    <x v="7"/>
    <x v="9"/>
    <x v="2"/>
    <s v="Net Banking"/>
    <n v="0"/>
    <x v="7"/>
    <s v="Manav"/>
    <s v="Pillai"/>
    <x v="2"/>
    <s v="Small Business"/>
    <d v="2024-07-28T00:00:00"/>
  </r>
  <r>
    <n v="119"/>
    <x v="46"/>
    <n v="1"/>
    <n v="1"/>
    <n v="799"/>
    <n v="0"/>
    <n v="799"/>
    <n v="1"/>
    <x v="12"/>
    <x v="0"/>
    <n v="799"/>
    <n v="420"/>
    <n v="1047"/>
    <x v="7"/>
    <x v="9"/>
    <x v="2"/>
    <s v="Net Banking"/>
    <n v="0"/>
    <x v="7"/>
    <s v="Manav"/>
    <s v="Pillai"/>
    <x v="2"/>
    <s v="Small Business"/>
    <d v="2024-07-28T00:00:00"/>
  </r>
  <r>
    <n v="120"/>
    <x v="47"/>
    <n v="8"/>
    <n v="1"/>
    <n v="299"/>
    <n v="0"/>
    <n v="299"/>
    <n v="8"/>
    <x v="5"/>
    <x v="2"/>
    <n v="299"/>
    <n v="110"/>
    <n v="1048"/>
    <x v="27"/>
    <x v="42"/>
    <x v="0"/>
    <s v="UPI"/>
    <n v="2"/>
    <x v="27"/>
    <s v="Rohan"/>
    <s v="Iyer"/>
    <x v="8"/>
    <s v="Consumer"/>
    <d v="2023-01-26T00:00:00"/>
  </r>
  <r>
    <n v="121"/>
    <x v="47"/>
    <n v="5"/>
    <n v="1"/>
    <n v="1299"/>
    <n v="0"/>
    <n v="1299"/>
    <n v="5"/>
    <x v="4"/>
    <x v="1"/>
    <n v="1299"/>
    <n v="650"/>
    <n v="1048"/>
    <x v="27"/>
    <x v="42"/>
    <x v="0"/>
    <s v="UPI"/>
    <n v="2"/>
    <x v="27"/>
    <s v="Rohan"/>
    <s v="Iyer"/>
    <x v="8"/>
    <s v="Consumer"/>
    <d v="2023-01-26T00:00:00"/>
  </r>
  <r>
    <n v="122"/>
    <x v="48"/>
    <n v="20"/>
    <n v="2"/>
    <n v="449"/>
    <n v="0"/>
    <n v="898"/>
    <n v="20"/>
    <x v="16"/>
    <x v="2"/>
    <n v="449"/>
    <n v="180"/>
    <n v="1049"/>
    <x v="23"/>
    <x v="43"/>
    <x v="0"/>
    <s v="Debit Card"/>
    <n v="7"/>
    <x v="23"/>
    <s v="Riya"/>
    <s v="Das"/>
    <x v="9"/>
    <s v="Consumer"/>
    <d v="2024-07-12T00:00:00"/>
  </r>
  <r>
    <n v="123"/>
    <x v="48"/>
    <n v="4"/>
    <n v="3"/>
    <n v="2199"/>
    <n v="0"/>
    <n v="6597"/>
    <n v="4"/>
    <x v="0"/>
    <x v="0"/>
    <n v="2199"/>
    <n v="1250"/>
    <n v="1049"/>
    <x v="23"/>
    <x v="43"/>
    <x v="0"/>
    <s v="Debit Card"/>
    <n v="7"/>
    <x v="23"/>
    <s v="Riya"/>
    <s v="Das"/>
    <x v="9"/>
    <s v="Consumer"/>
    <d v="2024-07-12T00:00:00"/>
  </r>
  <r>
    <n v="124"/>
    <x v="49"/>
    <n v="7"/>
    <n v="2"/>
    <n v="999"/>
    <n v="0.05"/>
    <n v="1898"/>
    <n v="7"/>
    <x v="11"/>
    <x v="4"/>
    <n v="999"/>
    <n v="480"/>
    <n v="1050"/>
    <x v="14"/>
    <x v="44"/>
    <x v="0"/>
    <s v="Net Banking"/>
    <n v="5"/>
    <x v="14"/>
    <s v="Tanvi"/>
    <s v="Mishra"/>
    <x v="0"/>
    <s v="Corporate"/>
    <d v="2025-02-16T00:00:00"/>
  </r>
  <r>
    <n v="125"/>
    <x v="49"/>
    <n v="3"/>
    <n v="2"/>
    <n v="1799"/>
    <n v="0.15"/>
    <n v="3058"/>
    <n v="3"/>
    <x v="1"/>
    <x v="0"/>
    <n v="1799"/>
    <n v="980"/>
    <n v="1050"/>
    <x v="14"/>
    <x v="44"/>
    <x v="0"/>
    <s v="Net Banking"/>
    <n v="5"/>
    <x v="14"/>
    <s v="Tanvi"/>
    <s v="Mishra"/>
    <x v="0"/>
    <s v="Corporate"/>
    <d v="2025-02-16T00:00:00"/>
  </r>
  <r>
    <n v="126"/>
    <x v="49"/>
    <n v="8"/>
    <n v="2"/>
    <n v="299"/>
    <n v="0.15"/>
    <n v="508"/>
    <n v="8"/>
    <x v="5"/>
    <x v="2"/>
    <n v="299"/>
    <n v="110"/>
    <n v="1050"/>
    <x v="14"/>
    <x v="44"/>
    <x v="0"/>
    <s v="Net Banking"/>
    <n v="5"/>
    <x v="14"/>
    <s v="Tanvi"/>
    <s v="Mishra"/>
    <x v="0"/>
    <s v="Corporate"/>
    <d v="2025-02-16T00:00:00"/>
  </r>
  <r>
    <n v="127"/>
    <x v="49"/>
    <n v="4"/>
    <n v="2"/>
    <n v="2199"/>
    <n v="0.05"/>
    <n v="4178"/>
    <n v="4"/>
    <x v="0"/>
    <x v="0"/>
    <n v="2199"/>
    <n v="1250"/>
    <n v="1050"/>
    <x v="14"/>
    <x v="44"/>
    <x v="0"/>
    <s v="Net Banking"/>
    <n v="5"/>
    <x v="14"/>
    <s v="Tanvi"/>
    <s v="Mishra"/>
    <x v="0"/>
    <s v="Corporate"/>
    <d v="2025-02-16T00:00:00"/>
  </r>
  <r>
    <n v="128"/>
    <x v="50"/>
    <n v="1"/>
    <n v="1"/>
    <n v="799"/>
    <n v="0.05"/>
    <n v="759"/>
    <n v="1"/>
    <x v="12"/>
    <x v="0"/>
    <n v="799"/>
    <n v="420"/>
    <n v="1051"/>
    <x v="26"/>
    <x v="45"/>
    <x v="1"/>
    <s v="UPI"/>
    <n v="3"/>
    <x v="26"/>
    <s v="Krishna"/>
    <s v="Singh"/>
    <x v="2"/>
    <s v="Corporate"/>
    <d v="2023-10-12T00:00:00"/>
  </r>
  <r>
    <n v="129"/>
    <x v="50"/>
    <n v="14"/>
    <n v="1"/>
    <n v="2499"/>
    <n v="0.1"/>
    <n v="2249"/>
    <n v="14"/>
    <x v="17"/>
    <x v="0"/>
    <n v="2499"/>
    <n v="1500"/>
    <n v="1051"/>
    <x v="26"/>
    <x v="45"/>
    <x v="1"/>
    <s v="UPI"/>
    <n v="3"/>
    <x v="26"/>
    <s v="Krishna"/>
    <s v="Singh"/>
    <x v="2"/>
    <s v="Corporate"/>
    <d v="2023-10-12T00:00:00"/>
  </r>
  <r>
    <n v="130"/>
    <x v="50"/>
    <n v="16"/>
    <n v="2"/>
    <n v="1599"/>
    <n v="0.1"/>
    <n v="2878"/>
    <n v="16"/>
    <x v="9"/>
    <x v="0"/>
    <n v="1599"/>
    <n v="900"/>
    <n v="1051"/>
    <x v="26"/>
    <x v="45"/>
    <x v="1"/>
    <s v="UPI"/>
    <n v="3"/>
    <x v="26"/>
    <s v="Krishna"/>
    <s v="Singh"/>
    <x v="2"/>
    <s v="Corporate"/>
    <d v="2023-10-12T00:00:00"/>
  </r>
  <r>
    <n v="131"/>
    <x v="51"/>
    <n v="15"/>
    <n v="2"/>
    <n v="349"/>
    <n v="0"/>
    <n v="698"/>
    <n v="15"/>
    <x v="8"/>
    <x v="1"/>
    <n v="349"/>
    <n v="120"/>
    <n v="1052"/>
    <x v="22"/>
    <x v="46"/>
    <x v="1"/>
    <s v="Cash on Delivery"/>
    <n v="3"/>
    <x v="22"/>
    <s v="Priya"/>
    <s v="Chowdhury"/>
    <x v="4"/>
    <s v="Consumer"/>
    <d v="2025-01-28T00:00:00"/>
  </r>
  <r>
    <n v="132"/>
    <x v="51"/>
    <n v="14"/>
    <n v="1"/>
    <n v="2499"/>
    <n v="0.1"/>
    <n v="2249"/>
    <n v="14"/>
    <x v="17"/>
    <x v="0"/>
    <n v="2499"/>
    <n v="1500"/>
    <n v="1052"/>
    <x v="22"/>
    <x v="46"/>
    <x v="1"/>
    <s v="Cash on Delivery"/>
    <n v="3"/>
    <x v="22"/>
    <s v="Priya"/>
    <s v="Chowdhury"/>
    <x v="4"/>
    <s v="Consumer"/>
    <d v="2025-01-28T00:00:00"/>
  </r>
  <r>
    <n v="133"/>
    <x v="51"/>
    <n v="9"/>
    <n v="1"/>
    <n v="199"/>
    <n v="0.1"/>
    <n v="179"/>
    <n v="9"/>
    <x v="13"/>
    <x v="2"/>
    <n v="199"/>
    <n v="65"/>
    <n v="1052"/>
    <x v="22"/>
    <x v="46"/>
    <x v="1"/>
    <s v="Cash on Delivery"/>
    <n v="3"/>
    <x v="22"/>
    <s v="Priya"/>
    <s v="Chowdhury"/>
    <x v="4"/>
    <s v="Consumer"/>
    <d v="2025-01-28T00:00:00"/>
  </r>
  <r>
    <n v="134"/>
    <x v="51"/>
    <n v="11"/>
    <n v="1"/>
    <n v="1099"/>
    <n v="0.2"/>
    <n v="879"/>
    <n v="11"/>
    <x v="19"/>
    <x v="3"/>
    <n v="1099"/>
    <n v="570"/>
    <n v="1052"/>
    <x v="22"/>
    <x v="46"/>
    <x v="1"/>
    <s v="Cash on Delivery"/>
    <n v="3"/>
    <x v="22"/>
    <s v="Priya"/>
    <s v="Chowdhury"/>
    <x v="4"/>
    <s v="Consumer"/>
    <d v="2025-01-28T00:00:00"/>
  </r>
  <r>
    <n v="135"/>
    <x v="52"/>
    <n v="16"/>
    <n v="1"/>
    <n v="1599"/>
    <n v="0.05"/>
    <n v="1519"/>
    <n v="16"/>
    <x v="9"/>
    <x v="0"/>
    <n v="1599"/>
    <n v="900"/>
    <n v="1053"/>
    <x v="7"/>
    <x v="47"/>
    <x v="0"/>
    <s v="Debit Card"/>
    <n v="4"/>
    <x v="7"/>
    <s v="Manav"/>
    <s v="Pillai"/>
    <x v="2"/>
    <s v="Small Business"/>
    <d v="2024-07-28T00:00:00"/>
  </r>
  <r>
    <n v="136"/>
    <x v="52"/>
    <n v="7"/>
    <n v="1"/>
    <n v="999"/>
    <n v="0.15"/>
    <n v="849"/>
    <n v="7"/>
    <x v="11"/>
    <x v="4"/>
    <n v="999"/>
    <n v="480"/>
    <n v="1053"/>
    <x v="7"/>
    <x v="47"/>
    <x v="0"/>
    <s v="Debit Card"/>
    <n v="4"/>
    <x v="7"/>
    <s v="Manav"/>
    <s v="Pillai"/>
    <x v="2"/>
    <s v="Small Business"/>
    <d v="2024-07-28T00:00:00"/>
  </r>
  <r>
    <n v="137"/>
    <x v="53"/>
    <n v="8"/>
    <n v="2"/>
    <n v="299"/>
    <n v="0.1"/>
    <n v="538"/>
    <n v="8"/>
    <x v="5"/>
    <x v="2"/>
    <n v="299"/>
    <n v="110"/>
    <n v="1054"/>
    <x v="28"/>
    <x v="48"/>
    <x v="0"/>
    <s v="Credit Card"/>
    <n v="5"/>
    <x v="28"/>
    <s v="Neha"/>
    <s v="Mishra"/>
    <x v="0"/>
    <s v="Consumer"/>
    <d v="2023-01-31T00:00:00"/>
  </r>
  <r>
    <n v="138"/>
    <x v="54"/>
    <n v="1"/>
    <n v="1"/>
    <n v="799"/>
    <n v="0"/>
    <n v="799"/>
    <n v="1"/>
    <x v="12"/>
    <x v="0"/>
    <n v="799"/>
    <n v="420"/>
    <n v="1055"/>
    <x v="19"/>
    <x v="49"/>
    <x v="1"/>
    <s v="Net Banking"/>
    <n v="4"/>
    <x v="19"/>
    <s v="Siddhi"/>
    <s v="Verma"/>
    <x v="1"/>
    <s v="Consumer"/>
    <d v="2025-04-08T00:00:00"/>
  </r>
  <r>
    <n v="139"/>
    <x v="54"/>
    <n v="3"/>
    <n v="1"/>
    <n v="1799"/>
    <n v="0.15"/>
    <n v="1529"/>
    <n v="3"/>
    <x v="1"/>
    <x v="0"/>
    <n v="1799"/>
    <n v="980"/>
    <n v="1055"/>
    <x v="19"/>
    <x v="49"/>
    <x v="1"/>
    <s v="Net Banking"/>
    <n v="4"/>
    <x v="19"/>
    <s v="Siddhi"/>
    <s v="Verma"/>
    <x v="1"/>
    <s v="Consumer"/>
    <d v="2025-04-08T00:00:00"/>
  </r>
  <r>
    <n v="140"/>
    <x v="54"/>
    <n v="10"/>
    <n v="1"/>
    <n v="599"/>
    <n v="0.15"/>
    <n v="509"/>
    <n v="10"/>
    <x v="18"/>
    <x v="3"/>
    <n v="599"/>
    <n v="260"/>
    <n v="1055"/>
    <x v="19"/>
    <x v="49"/>
    <x v="1"/>
    <s v="Net Banking"/>
    <n v="4"/>
    <x v="19"/>
    <s v="Siddhi"/>
    <s v="Verma"/>
    <x v="1"/>
    <s v="Consumer"/>
    <d v="2025-04-08T00:00:00"/>
  </r>
  <r>
    <n v="141"/>
    <x v="54"/>
    <n v="8"/>
    <n v="1"/>
    <n v="299"/>
    <n v="0.1"/>
    <n v="269"/>
    <n v="8"/>
    <x v="5"/>
    <x v="2"/>
    <n v="299"/>
    <n v="110"/>
    <n v="1055"/>
    <x v="19"/>
    <x v="49"/>
    <x v="1"/>
    <s v="Net Banking"/>
    <n v="4"/>
    <x v="19"/>
    <s v="Siddhi"/>
    <s v="Verma"/>
    <x v="1"/>
    <s v="Consumer"/>
    <d v="2025-04-08T00:00:00"/>
  </r>
  <r>
    <n v="142"/>
    <x v="55"/>
    <n v="10"/>
    <n v="1"/>
    <n v="599"/>
    <n v="0"/>
    <n v="599"/>
    <n v="10"/>
    <x v="18"/>
    <x v="3"/>
    <n v="599"/>
    <n v="260"/>
    <n v="1056"/>
    <x v="19"/>
    <x v="50"/>
    <x v="0"/>
    <s v="Net Banking"/>
    <n v="6"/>
    <x v="19"/>
    <s v="Siddhi"/>
    <s v="Verma"/>
    <x v="1"/>
    <s v="Consumer"/>
    <d v="2025-04-08T00:00:00"/>
  </r>
  <r>
    <n v="143"/>
    <x v="55"/>
    <n v="9"/>
    <n v="1"/>
    <n v="199"/>
    <n v="0.2"/>
    <n v="159"/>
    <n v="9"/>
    <x v="13"/>
    <x v="2"/>
    <n v="199"/>
    <n v="65"/>
    <n v="1056"/>
    <x v="19"/>
    <x v="50"/>
    <x v="0"/>
    <s v="Net Banking"/>
    <n v="6"/>
    <x v="19"/>
    <s v="Siddhi"/>
    <s v="Verma"/>
    <x v="1"/>
    <s v="Consumer"/>
    <d v="2025-04-08T00:00:00"/>
  </r>
  <r>
    <n v="144"/>
    <x v="55"/>
    <n v="8"/>
    <n v="1"/>
    <n v="299"/>
    <n v="0.2"/>
    <n v="239"/>
    <n v="8"/>
    <x v="5"/>
    <x v="2"/>
    <n v="299"/>
    <n v="110"/>
    <n v="1056"/>
    <x v="19"/>
    <x v="50"/>
    <x v="0"/>
    <s v="Net Banking"/>
    <n v="6"/>
    <x v="19"/>
    <s v="Siddhi"/>
    <s v="Verma"/>
    <x v="1"/>
    <s v="Consumer"/>
    <d v="2025-04-08T00:00:00"/>
  </r>
  <r>
    <n v="145"/>
    <x v="56"/>
    <n v="19"/>
    <n v="3"/>
    <n v="499"/>
    <n v="0"/>
    <n v="1497"/>
    <n v="19"/>
    <x v="10"/>
    <x v="1"/>
    <n v="499"/>
    <n v="220"/>
    <n v="1057"/>
    <x v="22"/>
    <x v="51"/>
    <x v="0"/>
    <s v="Net Banking"/>
    <n v="6"/>
    <x v="22"/>
    <s v="Priya"/>
    <s v="Chowdhury"/>
    <x v="4"/>
    <s v="Consumer"/>
    <d v="2025-01-28T00:00:00"/>
  </r>
  <r>
    <n v="146"/>
    <x v="56"/>
    <n v="17"/>
    <n v="1"/>
    <n v="8499"/>
    <n v="0.05"/>
    <n v="8074"/>
    <n v="17"/>
    <x v="14"/>
    <x v="4"/>
    <n v="8499"/>
    <n v="6100"/>
    <n v="1057"/>
    <x v="22"/>
    <x v="51"/>
    <x v="0"/>
    <s v="Net Banking"/>
    <n v="6"/>
    <x v="22"/>
    <s v="Priya"/>
    <s v="Chowdhury"/>
    <x v="4"/>
    <s v="Consumer"/>
    <d v="2025-01-28T00:00:00"/>
  </r>
  <r>
    <n v="147"/>
    <x v="56"/>
    <n v="10"/>
    <n v="1"/>
    <n v="599"/>
    <n v="0"/>
    <n v="599"/>
    <n v="10"/>
    <x v="18"/>
    <x v="3"/>
    <n v="599"/>
    <n v="260"/>
    <n v="1057"/>
    <x v="22"/>
    <x v="51"/>
    <x v="0"/>
    <s v="Net Banking"/>
    <n v="6"/>
    <x v="22"/>
    <s v="Priya"/>
    <s v="Chowdhury"/>
    <x v="4"/>
    <s v="Consumer"/>
    <d v="2025-01-28T00:00:00"/>
  </r>
  <r>
    <n v="148"/>
    <x v="57"/>
    <n v="5"/>
    <n v="2"/>
    <n v="1299"/>
    <n v="0.15"/>
    <n v="2208"/>
    <n v="5"/>
    <x v="4"/>
    <x v="1"/>
    <n v="1299"/>
    <n v="650"/>
    <n v="1058"/>
    <x v="26"/>
    <x v="52"/>
    <x v="0"/>
    <s v="UPI"/>
    <n v="1"/>
    <x v="26"/>
    <s v="Krishna"/>
    <s v="Singh"/>
    <x v="2"/>
    <s v="Corporate"/>
    <d v="2023-10-12T00:00:00"/>
  </r>
  <r>
    <n v="149"/>
    <x v="57"/>
    <n v="16"/>
    <n v="1"/>
    <n v="1599"/>
    <n v="0.1"/>
    <n v="1439"/>
    <n v="16"/>
    <x v="9"/>
    <x v="0"/>
    <n v="1599"/>
    <n v="900"/>
    <n v="1058"/>
    <x v="26"/>
    <x v="52"/>
    <x v="0"/>
    <s v="UPI"/>
    <n v="1"/>
    <x v="26"/>
    <s v="Krishna"/>
    <s v="Singh"/>
    <x v="2"/>
    <s v="Corporate"/>
    <d v="2023-10-12T00:00:00"/>
  </r>
  <r>
    <n v="150"/>
    <x v="57"/>
    <n v="4"/>
    <n v="1"/>
    <n v="2199"/>
    <n v="0"/>
    <n v="2199"/>
    <n v="4"/>
    <x v="0"/>
    <x v="0"/>
    <n v="2199"/>
    <n v="1250"/>
    <n v="1058"/>
    <x v="26"/>
    <x v="52"/>
    <x v="0"/>
    <s v="UPI"/>
    <n v="1"/>
    <x v="26"/>
    <s v="Krishna"/>
    <s v="Singh"/>
    <x v="2"/>
    <s v="Corporate"/>
    <d v="2023-10-12T00:00:00"/>
  </r>
  <r>
    <n v="151"/>
    <x v="58"/>
    <n v="3"/>
    <n v="1"/>
    <n v="1799"/>
    <n v="0"/>
    <n v="1799"/>
    <n v="3"/>
    <x v="1"/>
    <x v="0"/>
    <n v="1799"/>
    <n v="980"/>
    <n v="1059"/>
    <x v="29"/>
    <x v="53"/>
    <x v="2"/>
    <s v="Net Banking"/>
    <n v="0"/>
    <x v="29"/>
    <s v="Ananya"/>
    <s v="Joshi"/>
    <x v="5"/>
    <s v="Small Business"/>
    <d v="2025-01-29T00:00:00"/>
  </r>
  <r>
    <n v="152"/>
    <x v="59"/>
    <n v="19"/>
    <n v="1"/>
    <n v="499"/>
    <n v="0"/>
    <n v="499"/>
    <n v="19"/>
    <x v="10"/>
    <x v="1"/>
    <n v="499"/>
    <n v="220"/>
    <n v="1060"/>
    <x v="25"/>
    <x v="54"/>
    <x v="1"/>
    <s v="Credit Card"/>
    <n v="1"/>
    <x v="25"/>
    <s v="Harsh"/>
    <s v="Mehta"/>
    <x v="3"/>
    <s v="Small Business"/>
    <d v="2023-01-07T00:00:00"/>
  </r>
  <r>
    <n v="153"/>
    <x v="59"/>
    <n v="10"/>
    <n v="1"/>
    <n v="599"/>
    <n v="0.1"/>
    <n v="539"/>
    <n v="10"/>
    <x v="18"/>
    <x v="3"/>
    <n v="599"/>
    <n v="260"/>
    <n v="1060"/>
    <x v="25"/>
    <x v="54"/>
    <x v="1"/>
    <s v="Credit Card"/>
    <n v="1"/>
    <x v="25"/>
    <s v="Harsh"/>
    <s v="Mehta"/>
    <x v="3"/>
    <s v="Small Business"/>
    <d v="2023-01-07T00:00:00"/>
  </r>
  <r>
    <n v="154"/>
    <x v="60"/>
    <n v="17"/>
    <n v="1"/>
    <n v="8499"/>
    <n v="0.1"/>
    <n v="7649"/>
    <n v="17"/>
    <x v="14"/>
    <x v="4"/>
    <n v="8499"/>
    <n v="6100"/>
    <n v="1061"/>
    <x v="30"/>
    <x v="55"/>
    <x v="2"/>
    <s v="Cash on Delivery"/>
    <n v="0"/>
    <x v="30"/>
    <s v="Yash"/>
    <s v="Shetty"/>
    <x v="7"/>
    <s v="Consumer"/>
    <d v="2025-04-05T00:00:00"/>
  </r>
  <r>
    <n v="155"/>
    <x v="60"/>
    <n v="13"/>
    <n v="1"/>
    <n v="10999"/>
    <n v="0.15"/>
    <n v="9349"/>
    <n v="13"/>
    <x v="2"/>
    <x v="0"/>
    <n v="10999"/>
    <n v="7900"/>
    <n v="1061"/>
    <x v="30"/>
    <x v="55"/>
    <x v="2"/>
    <s v="Cash on Delivery"/>
    <n v="0"/>
    <x v="30"/>
    <s v="Yash"/>
    <s v="Shetty"/>
    <x v="7"/>
    <s v="Consumer"/>
    <d v="2025-04-05T00:00:00"/>
  </r>
  <r>
    <n v="156"/>
    <x v="61"/>
    <n v="20"/>
    <n v="3"/>
    <n v="449"/>
    <n v="0"/>
    <n v="1347"/>
    <n v="20"/>
    <x v="16"/>
    <x v="2"/>
    <n v="449"/>
    <n v="180"/>
    <n v="1062"/>
    <x v="0"/>
    <x v="56"/>
    <x v="3"/>
    <s v="Cash on Delivery"/>
    <n v="0"/>
    <x v="0"/>
    <s v="Mira"/>
    <s v="Rao"/>
    <x v="0"/>
    <s v="Small Business"/>
    <d v="2024-10-27T00:00:00"/>
  </r>
  <r>
    <n v="157"/>
    <x v="62"/>
    <n v="8"/>
    <n v="1"/>
    <n v="299"/>
    <n v="0"/>
    <n v="299"/>
    <n v="8"/>
    <x v="5"/>
    <x v="2"/>
    <n v="299"/>
    <n v="110"/>
    <n v="1063"/>
    <x v="6"/>
    <x v="57"/>
    <x v="0"/>
    <s v="UPI"/>
    <n v="3"/>
    <x v="6"/>
    <s v="Kavya"/>
    <s v="Patel"/>
    <x v="5"/>
    <s v="Corporate"/>
    <d v="2023-03-31T00:00:00"/>
  </r>
  <r>
    <n v="158"/>
    <x v="62"/>
    <n v="6"/>
    <n v="1"/>
    <n v="1899"/>
    <n v="0.1"/>
    <n v="1709"/>
    <n v="6"/>
    <x v="7"/>
    <x v="1"/>
    <n v="1899"/>
    <n v="950"/>
    <n v="1063"/>
    <x v="6"/>
    <x v="57"/>
    <x v="0"/>
    <s v="UPI"/>
    <n v="3"/>
    <x v="6"/>
    <s v="Kavya"/>
    <s v="Patel"/>
    <x v="5"/>
    <s v="Corporate"/>
    <d v="2023-03-31T00:00:00"/>
  </r>
  <r>
    <n v="159"/>
    <x v="63"/>
    <n v="10"/>
    <n v="2"/>
    <n v="599"/>
    <n v="0.05"/>
    <n v="1138"/>
    <n v="10"/>
    <x v="18"/>
    <x v="3"/>
    <n v="599"/>
    <n v="260"/>
    <n v="1064"/>
    <x v="30"/>
    <x v="58"/>
    <x v="0"/>
    <s v="Credit Card"/>
    <n v="1"/>
    <x v="30"/>
    <s v="Yash"/>
    <s v="Shetty"/>
    <x v="7"/>
    <s v="Consumer"/>
    <d v="2025-04-05T00:00:00"/>
  </r>
  <r>
    <n v="160"/>
    <x v="63"/>
    <n v="15"/>
    <n v="2"/>
    <n v="349"/>
    <n v="0.2"/>
    <n v="558"/>
    <n v="15"/>
    <x v="8"/>
    <x v="1"/>
    <n v="349"/>
    <n v="120"/>
    <n v="1064"/>
    <x v="30"/>
    <x v="58"/>
    <x v="0"/>
    <s v="Credit Card"/>
    <n v="1"/>
    <x v="30"/>
    <s v="Yash"/>
    <s v="Shetty"/>
    <x v="7"/>
    <s v="Consumer"/>
    <d v="2025-04-05T00:00:00"/>
  </r>
  <r>
    <n v="161"/>
    <x v="63"/>
    <n v="3"/>
    <n v="1"/>
    <n v="1799"/>
    <n v="0"/>
    <n v="1799"/>
    <n v="3"/>
    <x v="1"/>
    <x v="0"/>
    <n v="1799"/>
    <n v="980"/>
    <n v="1064"/>
    <x v="30"/>
    <x v="58"/>
    <x v="0"/>
    <s v="Credit Card"/>
    <n v="1"/>
    <x v="30"/>
    <s v="Yash"/>
    <s v="Shetty"/>
    <x v="7"/>
    <s v="Consumer"/>
    <d v="2025-04-05T00:00:00"/>
  </r>
  <r>
    <n v="162"/>
    <x v="64"/>
    <n v="9"/>
    <n v="1"/>
    <n v="199"/>
    <n v="0"/>
    <n v="199"/>
    <n v="9"/>
    <x v="13"/>
    <x v="2"/>
    <n v="199"/>
    <n v="65"/>
    <n v="1065"/>
    <x v="0"/>
    <x v="59"/>
    <x v="3"/>
    <s v="Credit Card"/>
    <n v="0"/>
    <x v="0"/>
    <s v="Mira"/>
    <s v="Rao"/>
    <x v="0"/>
    <s v="Small Business"/>
    <d v="2024-10-27T00:00:00"/>
  </r>
  <r>
    <n v="163"/>
    <x v="64"/>
    <n v="5"/>
    <n v="2"/>
    <n v="1299"/>
    <n v="0.15"/>
    <n v="2208"/>
    <n v="5"/>
    <x v="4"/>
    <x v="1"/>
    <n v="1299"/>
    <n v="650"/>
    <n v="1065"/>
    <x v="0"/>
    <x v="59"/>
    <x v="3"/>
    <s v="Credit Card"/>
    <n v="0"/>
    <x v="0"/>
    <s v="Mira"/>
    <s v="Rao"/>
    <x v="0"/>
    <s v="Small Business"/>
    <d v="2024-10-27T00:00:00"/>
  </r>
  <r>
    <n v="164"/>
    <x v="65"/>
    <n v="13"/>
    <n v="1"/>
    <n v="10999"/>
    <n v="0.1"/>
    <n v="9899"/>
    <n v="13"/>
    <x v="2"/>
    <x v="0"/>
    <n v="10999"/>
    <n v="7900"/>
    <n v="1066"/>
    <x v="25"/>
    <x v="60"/>
    <x v="0"/>
    <s v="Net Banking"/>
    <n v="1"/>
    <x v="25"/>
    <s v="Harsh"/>
    <s v="Mehta"/>
    <x v="3"/>
    <s v="Small Business"/>
    <d v="2023-01-07T00:00:00"/>
  </r>
  <r>
    <n v="165"/>
    <x v="65"/>
    <n v="9"/>
    <n v="1"/>
    <n v="199"/>
    <n v="0"/>
    <n v="199"/>
    <n v="9"/>
    <x v="13"/>
    <x v="2"/>
    <n v="199"/>
    <n v="65"/>
    <n v="1066"/>
    <x v="25"/>
    <x v="60"/>
    <x v="0"/>
    <s v="Net Banking"/>
    <n v="1"/>
    <x v="25"/>
    <s v="Harsh"/>
    <s v="Mehta"/>
    <x v="3"/>
    <s v="Small Business"/>
    <d v="2023-01-07T00:00:00"/>
  </r>
  <r>
    <n v="166"/>
    <x v="65"/>
    <n v="17"/>
    <n v="2"/>
    <n v="8499"/>
    <n v="0.2"/>
    <n v="13598"/>
    <n v="17"/>
    <x v="14"/>
    <x v="4"/>
    <n v="8499"/>
    <n v="6100"/>
    <n v="1066"/>
    <x v="25"/>
    <x v="60"/>
    <x v="0"/>
    <s v="Net Banking"/>
    <n v="1"/>
    <x v="25"/>
    <s v="Harsh"/>
    <s v="Mehta"/>
    <x v="3"/>
    <s v="Small Business"/>
    <d v="2023-01-07T00:00:00"/>
  </r>
  <r>
    <n v="167"/>
    <x v="66"/>
    <n v="19"/>
    <n v="3"/>
    <n v="499"/>
    <n v="0.2"/>
    <n v="1198"/>
    <n v="19"/>
    <x v="10"/>
    <x v="1"/>
    <n v="499"/>
    <n v="220"/>
    <n v="1067"/>
    <x v="10"/>
    <x v="61"/>
    <x v="0"/>
    <s v="UPI"/>
    <n v="1"/>
    <x v="10"/>
    <s v="Vikram"/>
    <s v="Kumar"/>
    <x v="6"/>
    <s v="Consumer"/>
    <d v="2023-08-27T00:00:00"/>
  </r>
  <r>
    <n v="168"/>
    <x v="66"/>
    <n v="20"/>
    <n v="2"/>
    <n v="449"/>
    <n v="0.15"/>
    <n v="763"/>
    <n v="20"/>
    <x v="16"/>
    <x v="2"/>
    <n v="449"/>
    <n v="180"/>
    <n v="1067"/>
    <x v="10"/>
    <x v="61"/>
    <x v="0"/>
    <s v="UPI"/>
    <n v="1"/>
    <x v="10"/>
    <s v="Vikram"/>
    <s v="Kumar"/>
    <x v="6"/>
    <s v="Consumer"/>
    <d v="2023-08-27T00:00:00"/>
  </r>
  <r>
    <n v="169"/>
    <x v="67"/>
    <n v="6"/>
    <n v="1"/>
    <n v="1899"/>
    <n v="0.1"/>
    <n v="1709"/>
    <n v="6"/>
    <x v="7"/>
    <x v="1"/>
    <n v="1899"/>
    <n v="950"/>
    <n v="1068"/>
    <x v="27"/>
    <x v="62"/>
    <x v="0"/>
    <s v="Net Banking"/>
    <n v="5"/>
    <x v="27"/>
    <s v="Rohan"/>
    <s v="Iyer"/>
    <x v="8"/>
    <s v="Consumer"/>
    <d v="2023-01-26T00:00:00"/>
  </r>
  <r>
    <n v="170"/>
    <x v="67"/>
    <n v="19"/>
    <n v="3"/>
    <n v="499"/>
    <n v="0.1"/>
    <n v="1347"/>
    <n v="19"/>
    <x v="10"/>
    <x v="1"/>
    <n v="499"/>
    <n v="220"/>
    <n v="1068"/>
    <x v="27"/>
    <x v="62"/>
    <x v="0"/>
    <s v="Net Banking"/>
    <n v="5"/>
    <x v="27"/>
    <s v="Rohan"/>
    <s v="Iyer"/>
    <x v="8"/>
    <s v="Consumer"/>
    <d v="2023-01-26T00:00:00"/>
  </r>
  <r>
    <n v="171"/>
    <x v="67"/>
    <n v="14"/>
    <n v="1"/>
    <n v="2499"/>
    <n v="0.05"/>
    <n v="2374"/>
    <n v="14"/>
    <x v="17"/>
    <x v="0"/>
    <n v="2499"/>
    <n v="1500"/>
    <n v="1068"/>
    <x v="27"/>
    <x v="62"/>
    <x v="0"/>
    <s v="Net Banking"/>
    <n v="5"/>
    <x v="27"/>
    <s v="Rohan"/>
    <s v="Iyer"/>
    <x v="8"/>
    <s v="Consumer"/>
    <d v="2023-01-26T00:00:00"/>
  </r>
  <r>
    <n v="172"/>
    <x v="68"/>
    <n v="14"/>
    <n v="2"/>
    <n v="2499"/>
    <n v="0.1"/>
    <n v="4498"/>
    <n v="14"/>
    <x v="17"/>
    <x v="0"/>
    <n v="2499"/>
    <n v="1500"/>
    <n v="1069"/>
    <x v="10"/>
    <x v="63"/>
    <x v="0"/>
    <s v="Credit Card"/>
    <n v="7"/>
    <x v="10"/>
    <s v="Vikram"/>
    <s v="Kumar"/>
    <x v="6"/>
    <s v="Consumer"/>
    <d v="2023-08-27T00:00:00"/>
  </r>
  <r>
    <n v="173"/>
    <x v="68"/>
    <n v="16"/>
    <n v="2"/>
    <n v="1599"/>
    <n v="0.15"/>
    <n v="2718"/>
    <n v="16"/>
    <x v="9"/>
    <x v="0"/>
    <n v="1599"/>
    <n v="900"/>
    <n v="1069"/>
    <x v="10"/>
    <x v="63"/>
    <x v="0"/>
    <s v="Credit Card"/>
    <n v="7"/>
    <x v="10"/>
    <s v="Vikram"/>
    <s v="Kumar"/>
    <x v="6"/>
    <s v="Consumer"/>
    <d v="2023-08-27T00:00:00"/>
  </r>
  <r>
    <n v="174"/>
    <x v="68"/>
    <n v="10"/>
    <n v="1"/>
    <n v="599"/>
    <n v="0"/>
    <n v="599"/>
    <n v="10"/>
    <x v="18"/>
    <x v="3"/>
    <n v="599"/>
    <n v="260"/>
    <n v="1069"/>
    <x v="10"/>
    <x v="63"/>
    <x v="0"/>
    <s v="Credit Card"/>
    <n v="7"/>
    <x v="10"/>
    <s v="Vikram"/>
    <s v="Kumar"/>
    <x v="6"/>
    <s v="Consumer"/>
    <d v="2023-08-27T00:00:00"/>
  </r>
  <r>
    <n v="175"/>
    <x v="69"/>
    <n v="18"/>
    <n v="1"/>
    <n v="3299"/>
    <n v="0"/>
    <n v="3299"/>
    <n v="18"/>
    <x v="6"/>
    <x v="3"/>
    <n v="3299"/>
    <n v="2050"/>
    <n v="1070"/>
    <x v="10"/>
    <x v="53"/>
    <x v="0"/>
    <s v="Net Banking"/>
    <n v="1"/>
    <x v="10"/>
    <s v="Vikram"/>
    <s v="Kumar"/>
    <x v="6"/>
    <s v="Consumer"/>
    <d v="2023-08-27T00:00:00"/>
  </r>
  <r>
    <n v="176"/>
    <x v="70"/>
    <n v="2"/>
    <n v="2"/>
    <n v="2499"/>
    <n v="0.1"/>
    <n v="4498"/>
    <n v="2"/>
    <x v="3"/>
    <x v="0"/>
    <n v="2499"/>
    <n v="1500"/>
    <n v="1071"/>
    <x v="31"/>
    <x v="64"/>
    <x v="0"/>
    <s v="Net Banking"/>
    <n v="5"/>
    <x v="31"/>
    <s v="Ishaan"/>
    <s v="Jain"/>
    <x v="8"/>
    <s v="Small Business"/>
    <d v="2024-07-12T00:00:00"/>
  </r>
  <r>
    <n v="177"/>
    <x v="70"/>
    <n v="7"/>
    <n v="2"/>
    <n v="999"/>
    <n v="0.1"/>
    <n v="1798"/>
    <n v="7"/>
    <x v="11"/>
    <x v="4"/>
    <n v="999"/>
    <n v="480"/>
    <n v="1071"/>
    <x v="31"/>
    <x v="64"/>
    <x v="0"/>
    <s v="Net Banking"/>
    <n v="5"/>
    <x v="31"/>
    <s v="Ishaan"/>
    <s v="Jain"/>
    <x v="8"/>
    <s v="Small Business"/>
    <d v="2024-07-12T00:00:00"/>
  </r>
  <r>
    <n v="178"/>
    <x v="70"/>
    <n v="9"/>
    <n v="1"/>
    <n v="199"/>
    <n v="0.2"/>
    <n v="159"/>
    <n v="9"/>
    <x v="13"/>
    <x v="2"/>
    <n v="199"/>
    <n v="65"/>
    <n v="1071"/>
    <x v="31"/>
    <x v="64"/>
    <x v="0"/>
    <s v="Net Banking"/>
    <n v="5"/>
    <x v="31"/>
    <s v="Ishaan"/>
    <s v="Jain"/>
    <x v="8"/>
    <s v="Small Business"/>
    <d v="2024-07-12T00:00:00"/>
  </r>
  <r>
    <n v="179"/>
    <x v="70"/>
    <n v="5"/>
    <n v="1"/>
    <n v="1299"/>
    <n v="0"/>
    <n v="1299"/>
    <n v="5"/>
    <x v="4"/>
    <x v="1"/>
    <n v="1299"/>
    <n v="650"/>
    <n v="1071"/>
    <x v="31"/>
    <x v="64"/>
    <x v="0"/>
    <s v="Net Banking"/>
    <n v="5"/>
    <x v="31"/>
    <s v="Ishaan"/>
    <s v="Jain"/>
    <x v="8"/>
    <s v="Small Business"/>
    <d v="2024-07-12T00:00:00"/>
  </r>
  <r>
    <n v="180"/>
    <x v="71"/>
    <n v="3"/>
    <n v="3"/>
    <n v="1799"/>
    <n v="0.2"/>
    <n v="4318"/>
    <n v="3"/>
    <x v="1"/>
    <x v="0"/>
    <n v="1799"/>
    <n v="980"/>
    <n v="1072"/>
    <x v="32"/>
    <x v="65"/>
    <x v="3"/>
    <s v="UPI"/>
    <n v="0"/>
    <x v="32"/>
    <s v="Aditya"/>
    <s v="Nair"/>
    <x v="6"/>
    <s v="Corporate"/>
    <d v="2024-11-23T00:00:00"/>
  </r>
  <r>
    <n v="181"/>
    <x v="71"/>
    <n v="8"/>
    <n v="2"/>
    <n v="299"/>
    <n v="0.1"/>
    <n v="538"/>
    <n v="8"/>
    <x v="5"/>
    <x v="2"/>
    <n v="299"/>
    <n v="110"/>
    <n v="1072"/>
    <x v="32"/>
    <x v="65"/>
    <x v="3"/>
    <s v="UPI"/>
    <n v="0"/>
    <x v="32"/>
    <s v="Aditya"/>
    <s v="Nair"/>
    <x v="6"/>
    <s v="Corporate"/>
    <d v="2024-11-23T00:00:00"/>
  </r>
  <r>
    <n v="182"/>
    <x v="71"/>
    <n v="4"/>
    <n v="3"/>
    <n v="2199"/>
    <n v="0.05"/>
    <n v="6267"/>
    <n v="4"/>
    <x v="0"/>
    <x v="0"/>
    <n v="2199"/>
    <n v="1250"/>
    <n v="1072"/>
    <x v="32"/>
    <x v="65"/>
    <x v="3"/>
    <s v="UPI"/>
    <n v="0"/>
    <x v="32"/>
    <s v="Aditya"/>
    <s v="Nair"/>
    <x v="6"/>
    <s v="Corporate"/>
    <d v="2024-11-23T00:00:00"/>
  </r>
  <r>
    <n v="183"/>
    <x v="71"/>
    <n v="15"/>
    <n v="1"/>
    <n v="349"/>
    <n v="0.05"/>
    <n v="332"/>
    <n v="15"/>
    <x v="8"/>
    <x v="1"/>
    <n v="349"/>
    <n v="120"/>
    <n v="1072"/>
    <x v="32"/>
    <x v="65"/>
    <x v="3"/>
    <s v="UPI"/>
    <n v="0"/>
    <x v="32"/>
    <s v="Aditya"/>
    <s v="Nair"/>
    <x v="6"/>
    <s v="Corporate"/>
    <d v="2024-11-23T00:00:00"/>
  </r>
  <r>
    <n v="184"/>
    <x v="72"/>
    <n v="13"/>
    <n v="2"/>
    <n v="10999"/>
    <n v="0.15"/>
    <n v="18698"/>
    <n v="13"/>
    <x v="2"/>
    <x v="0"/>
    <n v="10999"/>
    <n v="7900"/>
    <n v="1073"/>
    <x v="33"/>
    <x v="66"/>
    <x v="0"/>
    <s v="Net Banking"/>
    <n v="2"/>
    <x v="33"/>
    <s v="Dev"/>
    <s v="Reddy"/>
    <x v="3"/>
    <s v="Consumer"/>
    <d v="2025-01-03T00:00:00"/>
  </r>
  <r>
    <n v="185"/>
    <x v="72"/>
    <n v="7"/>
    <n v="2"/>
    <n v="999"/>
    <n v="0"/>
    <n v="1998"/>
    <n v="7"/>
    <x v="11"/>
    <x v="4"/>
    <n v="999"/>
    <n v="480"/>
    <n v="1073"/>
    <x v="33"/>
    <x v="66"/>
    <x v="0"/>
    <s v="Net Banking"/>
    <n v="2"/>
    <x v="33"/>
    <s v="Dev"/>
    <s v="Reddy"/>
    <x v="3"/>
    <s v="Consumer"/>
    <d v="2025-01-03T00:00:00"/>
  </r>
  <r>
    <n v="186"/>
    <x v="73"/>
    <n v="17"/>
    <n v="1"/>
    <n v="8499"/>
    <n v="0.05"/>
    <n v="8074"/>
    <n v="17"/>
    <x v="14"/>
    <x v="4"/>
    <n v="8499"/>
    <n v="6100"/>
    <n v="1074"/>
    <x v="2"/>
    <x v="67"/>
    <x v="2"/>
    <s v="Net Banking"/>
    <n v="0"/>
    <x v="2"/>
    <s v="Vihaan"/>
    <s v="Pillai"/>
    <x v="2"/>
    <s v="Corporate"/>
    <d v="2023-10-09T00:00:00"/>
  </r>
  <r>
    <n v="187"/>
    <x v="73"/>
    <n v="9"/>
    <n v="2"/>
    <n v="199"/>
    <n v="0.15"/>
    <n v="338"/>
    <n v="9"/>
    <x v="13"/>
    <x v="2"/>
    <n v="199"/>
    <n v="65"/>
    <n v="1074"/>
    <x v="2"/>
    <x v="67"/>
    <x v="2"/>
    <s v="Net Banking"/>
    <n v="0"/>
    <x v="2"/>
    <s v="Vihaan"/>
    <s v="Pillai"/>
    <x v="2"/>
    <s v="Corporate"/>
    <d v="2023-10-09T00:00:00"/>
  </r>
  <r>
    <n v="188"/>
    <x v="73"/>
    <n v="1"/>
    <n v="3"/>
    <n v="799"/>
    <n v="0.1"/>
    <n v="2157"/>
    <n v="1"/>
    <x v="12"/>
    <x v="0"/>
    <n v="799"/>
    <n v="420"/>
    <n v="1074"/>
    <x v="2"/>
    <x v="67"/>
    <x v="2"/>
    <s v="Net Banking"/>
    <n v="0"/>
    <x v="2"/>
    <s v="Vihaan"/>
    <s v="Pillai"/>
    <x v="2"/>
    <s v="Corporate"/>
    <d v="2023-10-09T00:00:00"/>
  </r>
  <r>
    <n v="189"/>
    <x v="74"/>
    <n v="11"/>
    <n v="1"/>
    <n v="1099"/>
    <n v="0.05"/>
    <n v="1044"/>
    <n v="11"/>
    <x v="19"/>
    <x v="3"/>
    <n v="1099"/>
    <n v="570"/>
    <n v="1075"/>
    <x v="20"/>
    <x v="68"/>
    <x v="3"/>
    <s v="Net Banking"/>
    <n v="0"/>
    <x v="20"/>
    <s v="Saanvi"/>
    <s v="Das"/>
    <x v="9"/>
    <s v="Small Business"/>
    <d v="2023-04-15T00:00:00"/>
  </r>
  <r>
    <n v="190"/>
    <x v="74"/>
    <n v="18"/>
    <n v="2"/>
    <n v="3299"/>
    <n v="0.2"/>
    <n v="5278"/>
    <n v="18"/>
    <x v="6"/>
    <x v="3"/>
    <n v="3299"/>
    <n v="2050"/>
    <n v="1075"/>
    <x v="20"/>
    <x v="68"/>
    <x v="3"/>
    <s v="Net Banking"/>
    <n v="0"/>
    <x v="20"/>
    <s v="Saanvi"/>
    <s v="Das"/>
    <x v="9"/>
    <s v="Small Business"/>
    <d v="2023-04-15T00:00:00"/>
  </r>
  <r>
    <n v="191"/>
    <x v="74"/>
    <n v="19"/>
    <n v="1"/>
    <n v="499"/>
    <n v="0.1"/>
    <n v="449"/>
    <n v="19"/>
    <x v="10"/>
    <x v="1"/>
    <n v="499"/>
    <n v="220"/>
    <n v="1075"/>
    <x v="20"/>
    <x v="68"/>
    <x v="3"/>
    <s v="Net Banking"/>
    <n v="0"/>
    <x v="20"/>
    <s v="Saanvi"/>
    <s v="Das"/>
    <x v="9"/>
    <s v="Small Business"/>
    <d v="2023-04-15T00:00:00"/>
  </r>
  <r>
    <n v="192"/>
    <x v="75"/>
    <n v="13"/>
    <n v="1"/>
    <n v="10999"/>
    <n v="0.15"/>
    <n v="9349"/>
    <n v="13"/>
    <x v="2"/>
    <x v="0"/>
    <n v="10999"/>
    <n v="7900"/>
    <n v="1076"/>
    <x v="8"/>
    <x v="69"/>
    <x v="0"/>
    <s v="Net Banking"/>
    <n v="3"/>
    <x v="8"/>
    <s v="Reyansh"/>
    <s v="Singh"/>
    <x v="2"/>
    <s v="Consumer"/>
    <d v="2024-08-27T00:00:00"/>
  </r>
  <r>
    <n v="193"/>
    <x v="75"/>
    <n v="5"/>
    <n v="1"/>
    <n v="1299"/>
    <n v="0"/>
    <n v="1299"/>
    <n v="5"/>
    <x v="4"/>
    <x v="1"/>
    <n v="1299"/>
    <n v="650"/>
    <n v="1076"/>
    <x v="8"/>
    <x v="69"/>
    <x v="0"/>
    <s v="Net Banking"/>
    <n v="3"/>
    <x v="8"/>
    <s v="Reyansh"/>
    <s v="Singh"/>
    <x v="2"/>
    <s v="Consumer"/>
    <d v="2024-08-27T00:00:00"/>
  </r>
  <r>
    <n v="194"/>
    <x v="75"/>
    <n v="16"/>
    <n v="2"/>
    <n v="1599"/>
    <n v="0.1"/>
    <n v="2878"/>
    <n v="16"/>
    <x v="9"/>
    <x v="0"/>
    <n v="1599"/>
    <n v="900"/>
    <n v="1076"/>
    <x v="8"/>
    <x v="69"/>
    <x v="0"/>
    <s v="Net Banking"/>
    <n v="3"/>
    <x v="8"/>
    <s v="Reyansh"/>
    <s v="Singh"/>
    <x v="2"/>
    <s v="Consumer"/>
    <d v="2024-08-27T00:00:00"/>
  </r>
  <r>
    <n v="195"/>
    <x v="75"/>
    <n v="2"/>
    <n v="1"/>
    <n v="2499"/>
    <n v="0.1"/>
    <n v="2249"/>
    <n v="2"/>
    <x v="3"/>
    <x v="0"/>
    <n v="2499"/>
    <n v="1500"/>
    <n v="1076"/>
    <x v="8"/>
    <x v="69"/>
    <x v="0"/>
    <s v="Net Banking"/>
    <n v="3"/>
    <x v="8"/>
    <s v="Reyansh"/>
    <s v="Singh"/>
    <x v="2"/>
    <s v="Consumer"/>
    <d v="2024-08-27T00:00:00"/>
  </r>
  <r>
    <n v="196"/>
    <x v="76"/>
    <n v="16"/>
    <n v="2"/>
    <n v="1599"/>
    <n v="0.05"/>
    <n v="3038"/>
    <n v="16"/>
    <x v="9"/>
    <x v="0"/>
    <n v="1599"/>
    <n v="900"/>
    <n v="1077"/>
    <x v="18"/>
    <x v="70"/>
    <x v="0"/>
    <s v="Credit Card"/>
    <n v="7"/>
    <x v="18"/>
    <s v="Aarav"/>
    <s v="Kumar"/>
    <x v="6"/>
    <s v="Small Business"/>
    <d v="2024-10-16T00:00:00"/>
  </r>
  <r>
    <n v="197"/>
    <x v="77"/>
    <n v="18"/>
    <n v="1"/>
    <n v="3299"/>
    <n v="0.1"/>
    <n v="2969"/>
    <n v="18"/>
    <x v="6"/>
    <x v="3"/>
    <n v="3299"/>
    <n v="2050"/>
    <n v="1078"/>
    <x v="5"/>
    <x v="71"/>
    <x v="1"/>
    <s v="UPI"/>
    <n v="4"/>
    <x v="5"/>
    <s v="Sneha"/>
    <s v="Gupta"/>
    <x v="4"/>
    <s v="Small Business"/>
    <d v="2024-06-01T00:00:00"/>
  </r>
  <r>
    <n v="198"/>
    <x v="77"/>
    <n v="13"/>
    <n v="2"/>
    <n v="10999"/>
    <n v="0"/>
    <n v="21998"/>
    <n v="13"/>
    <x v="2"/>
    <x v="0"/>
    <n v="10999"/>
    <n v="7900"/>
    <n v="1078"/>
    <x v="5"/>
    <x v="71"/>
    <x v="1"/>
    <s v="UPI"/>
    <n v="4"/>
    <x v="5"/>
    <s v="Sneha"/>
    <s v="Gupta"/>
    <x v="4"/>
    <s v="Small Business"/>
    <d v="2024-06-01T00:00:00"/>
  </r>
  <r>
    <n v="199"/>
    <x v="77"/>
    <n v="11"/>
    <n v="1"/>
    <n v="1099"/>
    <n v="0"/>
    <n v="1099"/>
    <n v="11"/>
    <x v="19"/>
    <x v="3"/>
    <n v="1099"/>
    <n v="570"/>
    <n v="1078"/>
    <x v="5"/>
    <x v="71"/>
    <x v="1"/>
    <s v="UPI"/>
    <n v="4"/>
    <x v="5"/>
    <s v="Sneha"/>
    <s v="Gupta"/>
    <x v="4"/>
    <s v="Small Business"/>
    <d v="2024-06-01T00:00:00"/>
  </r>
  <r>
    <n v="200"/>
    <x v="78"/>
    <n v="4"/>
    <n v="1"/>
    <n v="2199"/>
    <n v="0.2"/>
    <n v="1759"/>
    <n v="4"/>
    <x v="0"/>
    <x v="0"/>
    <n v="2199"/>
    <n v="1250"/>
    <n v="1079"/>
    <x v="34"/>
    <x v="72"/>
    <x v="1"/>
    <s v="Net Banking"/>
    <n v="1"/>
    <x v="34"/>
    <s v="Kiran"/>
    <s v="Shetty"/>
    <x v="7"/>
    <s v="Small Business"/>
    <d v="2023-04-06T00:00:00"/>
  </r>
  <r>
    <n v="201"/>
    <x v="79"/>
    <n v="12"/>
    <n v="1"/>
    <n v="399"/>
    <n v="0.15"/>
    <n v="339"/>
    <n v="12"/>
    <x v="15"/>
    <x v="4"/>
    <n v="399"/>
    <n v="140"/>
    <n v="1080"/>
    <x v="35"/>
    <x v="73"/>
    <x v="0"/>
    <s v="UPI"/>
    <n v="3"/>
    <x v="35"/>
    <s v="Pooja"/>
    <s v="Sharma"/>
    <x v="9"/>
    <s v="Corporate"/>
    <d v="2023-08-12T00:00:00"/>
  </r>
  <r>
    <n v="202"/>
    <x v="79"/>
    <n v="20"/>
    <n v="1"/>
    <n v="449"/>
    <n v="0.2"/>
    <n v="359"/>
    <n v="20"/>
    <x v="16"/>
    <x v="2"/>
    <n v="449"/>
    <n v="180"/>
    <n v="1080"/>
    <x v="35"/>
    <x v="73"/>
    <x v="0"/>
    <s v="UPI"/>
    <n v="3"/>
    <x v="35"/>
    <s v="Pooja"/>
    <s v="Sharma"/>
    <x v="9"/>
    <s v="Corporate"/>
    <d v="2023-08-12T00:00:00"/>
  </r>
  <r>
    <n v="203"/>
    <x v="79"/>
    <n v="14"/>
    <n v="2"/>
    <n v="2499"/>
    <n v="0"/>
    <n v="4998"/>
    <n v="14"/>
    <x v="17"/>
    <x v="0"/>
    <n v="2499"/>
    <n v="1500"/>
    <n v="1080"/>
    <x v="35"/>
    <x v="73"/>
    <x v="0"/>
    <s v="UPI"/>
    <n v="3"/>
    <x v="35"/>
    <s v="Pooja"/>
    <s v="Sharma"/>
    <x v="9"/>
    <s v="Corporate"/>
    <d v="2023-08-12T00:00:00"/>
  </r>
  <r>
    <n v="204"/>
    <x v="80"/>
    <n v="16"/>
    <n v="1"/>
    <n v="1599"/>
    <n v="0.1"/>
    <n v="1439"/>
    <n v="16"/>
    <x v="9"/>
    <x v="0"/>
    <n v="1599"/>
    <n v="900"/>
    <n v="1081"/>
    <x v="22"/>
    <x v="74"/>
    <x v="3"/>
    <s v="Net Banking"/>
    <n v="0"/>
    <x v="22"/>
    <s v="Priya"/>
    <s v="Chowdhury"/>
    <x v="4"/>
    <s v="Consumer"/>
    <d v="2025-01-28T00:00:00"/>
  </r>
  <r>
    <n v="205"/>
    <x v="80"/>
    <n v="19"/>
    <n v="1"/>
    <n v="499"/>
    <n v="0.1"/>
    <n v="449"/>
    <n v="19"/>
    <x v="10"/>
    <x v="1"/>
    <n v="499"/>
    <n v="220"/>
    <n v="1081"/>
    <x v="22"/>
    <x v="74"/>
    <x v="3"/>
    <s v="Net Banking"/>
    <n v="0"/>
    <x v="22"/>
    <s v="Priya"/>
    <s v="Chowdhury"/>
    <x v="4"/>
    <s v="Consumer"/>
    <d v="2025-01-28T00:00:00"/>
  </r>
  <r>
    <n v="206"/>
    <x v="81"/>
    <n v="18"/>
    <n v="1"/>
    <n v="3299"/>
    <n v="0.05"/>
    <n v="3134"/>
    <n v="18"/>
    <x v="6"/>
    <x v="3"/>
    <n v="3299"/>
    <n v="2050"/>
    <n v="1082"/>
    <x v="9"/>
    <x v="75"/>
    <x v="0"/>
    <s v="Net Banking"/>
    <n v="7"/>
    <x v="9"/>
    <s v="Rahul"/>
    <s v="Mehta"/>
    <x v="3"/>
    <s v="Corporate"/>
    <d v="2023-02-02T00:00:00"/>
  </r>
  <r>
    <n v="207"/>
    <x v="81"/>
    <n v="6"/>
    <n v="3"/>
    <n v="1899"/>
    <n v="0.05"/>
    <n v="5412"/>
    <n v="6"/>
    <x v="7"/>
    <x v="1"/>
    <n v="1899"/>
    <n v="950"/>
    <n v="1082"/>
    <x v="9"/>
    <x v="75"/>
    <x v="0"/>
    <s v="Net Banking"/>
    <n v="7"/>
    <x v="9"/>
    <s v="Rahul"/>
    <s v="Mehta"/>
    <x v="3"/>
    <s v="Corporate"/>
    <d v="2023-02-02T00:00:00"/>
  </r>
  <r>
    <n v="208"/>
    <x v="81"/>
    <n v="3"/>
    <n v="1"/>
    <n v="1799"/>
    <n v="0.1"/>
    <n v="1619"/>
    <n v="3"/>
    <x v="1"/>
    <x v="0"/>
    <n v="1799"/>
    <n v="980"/>
    <n v="1082"/>
    <x v="9"/>
    <x v="75"/>
    <x v="0"/>
    <s v="Net Banking"/>
    <n v="7"/>
    <x v="9"/>
    <s v="Rahul"/>
    <s v="Mehta"/>
    <x v="3"/>
    <s v="Corporate"/>
    <d v="2023-02-02T00:00:00"/>
  </r>
  <r>
    <n v="209"/>
    <x v="82"/>
    <n v="13"/>
    <n v="1"/>
    <n v="10999"/>
    <n v="0.1"/>
    <n v="9899"/>
    <n v="13"/>
    <x v="2"/>
    <x v="0"/>
    <n v="10999"/>
    <n v="7900"/>
    <n v="1083"/>
    <x v="9"/>
    <x v="76"/>
    <x v="2"/>
    <s v="Debit Card"/>
    <n v="0"/>
    <x v="9"/>
    <s v="Rahul"/>
    <s v="Mehta"/>
    <x v="3"/>
    <s v="Corporate"/>
    <d v="2023-02-02T00:00:00"/>
  </r>
  <r>
    <n v="210"/>
    <x v="82"/>
    <n v="16"/>
    <n v="1"/>
    <n v="1599"/>
    <n v="0.15"/>
    <n v="1359"/>
    <n v="16"/>
    <x v="9"/>
    <x v="0"/>
    <n v="1599"/>
    <n v="900"/>
    <n v="1083"/>
    <x v="9"/>
    <x v="76"/>
    <x v="2"/>
    <s v="Debit Card"/>
    <n v="0"/>
    <x v="9"/>
    <s v="Rahul"/>
    <s v="Mehta"/>
    <x v="3"/>
    <s v="Corporate"/>
    <d v="2023-02-02T00:00:00"/>
  </r>
  <r>
    <n v="211"/>
    <x v="83"/>
    <n v="1"/>
    <n v="2"/>
    <n v="799"/>
    <n v="0.2"/>
    <n v="1278"/>
    <n v="1"/>
    <x v="12"/>
    <x v="0"/>
    <n v="799"/>
    <n v="420"/>
    <n v="1084"/>
    <x v="34"/>
    <x v="43"/>
    <x v="0"/>
    <s v="Net Banking"/>
    <n v="1"/>
    <x v="34"/>
    <s v="Kiran"/>
    <s v="Shetty"/>
    <x v="7"/>
    <s v="Small Business"/>
    <d v="2023-04-06T00:00:00"/>
  </r>
  <r>
    <n v="212"/>
    <x v="83"/>
    <n v="19"/>
    <n v="1"/>
    <n v="499"/>
    <n v="0.05"/>
    <n v="474"/>
    <n v="19"/>
    <x v="10"/>
    <x v="1"/>
    <n v="499"/>
    <n v="220"/>
    <n v="1084"/>
    <x v="34"/>
    <x v="43"/>
    <x v="0"/>
    <s v="Net Banking"/>
    <n v="1"/>
    <x v="34"/>
    <s v="Kiran"/>
    <s v="Shetty"/>
    <x v="7"/>
    <s v="Small Business"/>
    <d v="2023-04-06T00:00:00"/>
  </r>
  <r>
    <n v="213"/>
    <x v="83"/>
    <n v="2"/>
    <n v="2"/>
    <n v="2499"/>
    <n v="0"/>
    <n v="4998"/>
    <n v="2"/>
    <x v="3"/>
    <x v="0"/>
    <n v="2499"/>
    <n v="1500"/>
    <n v="1084"/>
    <x v="34"/>
    <x v="43"/>
    <x v="0"/>
    <s v="Net Banking"/>
    <n v="1"/>
    <x v="34"/>
    <s v="Kiran"/>
    <s v="Shetty"/>
    <x v="7"/>
    <s v="Small Business"/>
    <d v="2023-04-06T00:00:00"/>
  </r>
  <r>
    <n v="214"/>
    <x v="84"/>
    <n v="5"/>
    <n v="1"/>
    <n v="1299"/>
    <n v="0.1"/>
    <n v="1169"/>
    <n v="5"/>
    <x v="4"/>
    <x v="1"/>
    <n v="1299"/>
    <n v="650"/>
    <n v="1085"/>
    <x v="30"/>
    <x v="77"/>
    <x v="0"/>
    <s v="Credit Card"/>
    <n v="6"/>
    <x v="30"/>
    <s v="Yash"/>
    <s v="Shetty"/>
    <x v="7"/>
    <s v="Consumer"/>
    <d v="2025-04-05T00:00:00"/>
  </r>
  <r>
    <n v="215"/>
    <x v="84"/>
    <n v="4"/>
    <n v="1"/>
    <n v="2199"/>
    <n v="0.05"/>
    <n v="2089"/>
    <n v="4"/>
    <x v="0"/>
    <x v="0"/>
    <n v="2199"/>
    <n v="1250"/>
    <n v="1085"/>
    <x v="30"/>
    <x v="77"/>
    <x v="0"/>
    <s v="Credit Card"/>
    <n v="6"/>
    <x v="30"/>
    <s v="Yash"/>
    <s v="Shetty"/>
    <x v="7"/>
    <s v="Consumer"/>
    <d v="2025-04-05T00:00:00"/>
  </r>
  <r>
    <n v="216"/>
    <x v="84"/>
    <n v="2"/>
    <n v="2"/>
    <n v="2499"/>
    <n v="0"/>
    <n v="4998"/>
    <n v="2"/>
    <x v="3"/>
    <x v="0"/>
    <n v="2499"/>
    <n v="1500"/>
    <n v="1085"/>
    <x v="30"/>
    <x v="77"/>
    <x v="0"/>
    <s v="Credit Card"/>
    <n v="6"/>
    <x v="30"/>
    <s v="Yash"/>
    <s v="Shetty"/>
    <x v="7"/>
    <s v="Consumer"/>
    <d v="2025-04-05T00:00:00"/>
  </r>
  <r>
    <n v="217"/>
    <x v="85"/>
    <n v="5"/>
    <n v="2"/>
    <n v="1299"/>
    <n v="0.05"/>
    <n v="2468"/>
    <n v="5"/>
    <x v="4"/>
    <x v="1"/>
    <n v="1299"/>
    <n v="650"/>
    <n v="1086"/>
    <x v="34"/>
    <x v="78"/>
    <x v="1"/>
    <s v="Credit Card"/>
    <n v="4"/>
    <x v="34"/>
    <s v="Kiran"/>
    <s v="Shetty"/>
    <x v="7"/>
    <s v="Small Business"/>
    <d v="2023-04-06T00:00:00"/>
  </r>
  <r>
    <n v="218"/>
    <x v="85"/>
    <n v="18"/>
    <n v="1"/>
    <n v="3299"/>
    <n v="0.05"/>
    <n v="3134"/>
    <n v="18"/>
    <x v="6"/>
    <x v="3"/>
    <n v="3299"/>
    <n v="2050"/>
    <n v="1086"/>
    <x v="34"/>
    <x v="78"/>
    <x v="1"/>
    <s v="Credit Card"/>
    <n v="4"/>
    <x v="34"/>
    <s v="Kiran"/>
    <s v="Shetty"/>
    <x v="7"/>
    <s v="Small Business"/>
    <d v="2023-04-06T00:00:00"/>
  </r>
  <r>
    <n v="219"/>
    <x v="86"/>
    <n v="11"/>
    <n v="3"/>
    <n v="1099"/>
    <n v="0"/>
    <n v="3297"/>
    <n v="11"/>
    <x v="19"/>
    <x v="3"/>
    <n v="1099"/>
    <n v="570"/>
    <n v="1087"/>
    <x v="32"/>
    <x v="79"/>
    <x v="2"/>
    <s v="Net Banking"/>
    <n v="0"/>
    <x v="32"/>
    <s v="Aditya"/>
    <s v="Nair"/>
    <x v="6"/>
    <s v="Corporate"/>
    <d v="2024-11-23T00:00:00"/>
  </r>
  <r>
    <n v="220"/>
    <x v="86"/>
    <n v="4"/>
    <n v="2"/>
    <n v="2199"/>
    <n v="0"/>
    <n v="4398"/>
    <n v="4"/>
    <x v="0"/>
    <x v="0"/>
    <n v="2199"/>
    <n v="1250"/>
    <n v="1087"/>
    <x v="32"/>
    <x v="79"/>
    <x v="2"/>
    <s v="Net Banking"/>
    <n v="0"/>
    <x v="32"/>
    <s v="Aditya"/>
    <s v="Nair"/>
    <x v="6"/>
    <s v="Corporate"/>
    <d v="2024-11-23T00:00:00"/>
  </r>
  <r>
    <n v="221"/>
    <x v="86"/>
    <n v="15"/>
    <n v="2"/>
    <n v="349"/>
    <n v="0.2"/>
    <n v="558"/>
    <n v="15"/>
    <x v="8"/>
    <x v="1"/>
    <n v="349"/>
    <n v="120"/>
    <n v="1087"/>
    <x v="32"/>
    <x v="79"/>
    <x v="2"/>
    <s v="Net Banking"/>
    <n v="0"/>
    <x v="32"/>
    <s v="Aditya"/>
    <s v="Nair"/>
    <x v="6"/>
    <s v="Corporate"/>
    <d v="2024-11-23T00:00:00"/>
  </r>
  <r>
    <n v="222"/>
    <x v="87"/>
    <n v="9"/>
    <n v="1"/>
    <n v="199"/>
    <n v="0.1"/>
    <n v="179"/>
    <n v="9"/>
    <x v="13"/>
    <x v="2"/>
    <n v="199"/>
    <n v="65"/>
    <n v="1088"/>
    <x v="1"/>
    <x v="80"/>
    <x v="0"/>
    <s v="Net Banking"/>
    <n v="1"/>
    <x v="1"/>
    <s v="Tara"/>
    <s v="Kapoor"/>
    <x v="1"/>
    <s v="Corporate"/>
    <d v="2023-07-23T00:00:00"/>
  </r>
  <r>
    <n v="223"/>
    <x v="88"/>
    <n v="12"/>
    <n v="1"/>
    <n v="399"/>
    <n v="0.15"/>
    <n v="339"/>
    <n v="12"/>
    <x v="15"/>
    <x v="4"/>
    <n v="399"/>
    <n v="140"/>
    <n v="1089"/>
    <x v="11"/>
    <x v="81"/>
    <x v="1"/>
    <s v="Debit Card"/>
    <n v="6"/>
    <x v="11"/>
    <s v="Nisha"/>
    <s v="Joshi"/>
    <x v="5"/>
    <s v="Consumer"/>
    <d v="2023-01-28T00:00:00"/>
  </r>
  <r>
    <n v="224"/>
    <x v="88"/>
    <n v="4"/>
    <n v="1"/>
    <n v="2199"/>
    <n v="0.15"/>
    <n v="1869"/>
    <n v="4"/>
    <x v="0"/>
    <x v="0"/>
    <n v="2199"/>
    <n v="1250"/>
    <n v="1089"/>
    <x v="11"/>
    <x v="81"/>
    <x v="1"/>
    <s v="Debit Card"/>
    <n v="6"/>
    <x v="11"/>
    <s v="Nisha"/>
    <s v="Joshi"/>
    <x v="5"/>
    <s v="Consumer"/>
    <d v="2023-01-28T00:00:00"/>
  </r>
  <r>
    <n v="225"/>
    <x v="88"/>
    <n v="8"/>
    <n v="1"/>
    <n v="299"/>
    <n v="0"/>
    <n v="299"/>
    <n v="8"/>
    <x v="5"/>
    <x v="2"/>
    <n v="299"/>
    <n v="110"/>
    <n v="1089"/>
    <x v="11"/>
    <x v="81"/>
    <x v="1"/>
    <s v="Debit Card"/>
    <n v="6"/>
    <x v="11"/>
    <s v="Nisha"/>
    <s v="Joshi"/>
    <x v="5"/>
    <s v="Consumer"/>
    <d v="2023-01-28T00:00:00"/>
  </r>
  <r>
    <n v="226"/>
    <x v="88"/>
    <n v="16"/>
    <n v="1"/>
    <n v="1599"/>
    <n v="0.1"/>
    <n v="1439"/>
    <n v="16"/>
    <x v="9"/>
    <x v="0"/>
    <n v="1599"/>
    <n v="900"/>
    <n v="1089"/>
    <x v="11"/>
    <x v="81"/>
    <x v="1"/>
    <s v="Debit Card"/>
    <n v="6"/>
    <x v="11"/>
    <s v="Nisha"/>
    <s v="Joshi"/>
    <x v="5"/>
    <s v="Consumer"/>
    <d v="2023-01-28T00:00:00"/>
  </r>
  <r>
    <n v="227"/>
    <x v="89"/>
    <n v="2"/>
    <n v="1"/>
    <n v="2499"/>
    <n v="0.1"/>
    <n v="2249"/>
    <n v="2"/>
    <x v="3"/>
    <x v="0"/>
    <n v="2499"/>
    <n v="1500"/>
    <n v="1090"/>
    <x v="35"/>
    <x v="82"/>
    <x v="0"/>
    <s v="Credit Card"/>
    <n v="1"/>
    <x v="35"/>
    <s v="Pooja"/>
    <s v="Sharma"/>
    <x v="9"/>
    <s v="Corporate"/>
    <d v="2023-08-12T00:00:00"/>
  </r>
  <r>
    <n v="228"/>
    <x v="90"/>
    <n v="15"/>
    <n v="1"/>
    <n v="349"/>
    <n v="0.2"/>
    <n v="279"/>
    <n v="15"/>
    <x v="8"/>
    <x v="1"/>
    <n v="349"/>
    <n v="120"/>
    <n v="1091"/>
    <x v="4"/>
    <x v="83"/>
    <x v="0"/>
    <s v="Credit Card"/>
    <n v="5"/>
    <x v="4"/>
    <s v="Meera"/>
    <s v="Rao"/>
    <x v="0"/>
    <s v="Corporate"/>
    <d v="2023-05-23T00:00:00"/>
  </r>
  <r>
    <n v="229"/>
    <x v="90"/>
    <n v="12"/>
    <n v="1"/>
    <n v="399"/>
    <n v="0.1"/>
    <n v="359"/>
    <n v="12"/>
    <x v="15"/>
    <x v="4"/>
    <n v="399"/>
    <n v="140"/>
    <n v="1091"/>
    <x v="4"/>
    <x v="83"/>
    <x v="0"/>
    <s v="Credit Card"/>
    <n v="5"/>
    <x v="4"/>
    <s v="Meera"/>
    <s v="Rao"/>
    <x v="0"/>
    <s v="Corporate"/>
    <d v="2023-05-23T00:00:00"/>
  </r>
  <r>
    <n v="230"/>
    <x v="90"/>
    <n v="18"/>
    <n v="2"/>
    <n v="3299"/>
    <n v="0.1"/>
    <n v="5938"/>
    <n v="18"/>
    <x v="6"/>
    <x v="3"/>
    <n v="3299"/>
    <n v="2050"/>
    <n v="1091"/>
    <x v="4"/>
    <x v="83"/>
    <x v="0"/>
    <s v="Credit Card"/>
    <n v="5"/>
    <x v="4"/>
    <s v="Meera"/>
    <s v="Rao"/>
    <x v="0"/>
    <s v="Corporate"/>
    <d v="2023-05-23T00:00:00"/>
  </r>
  <r>
    <n v="231"/>
    <x v="90"/>
    <n v="14"/>
    <n v="1"/>
    <n v="2499"/>
    <n v="0.05"/>
    <n v="2374"/>
    <n v="14"/>
    <x v="17"/>
    <x v="0"/>
    <n v="2499"/>
    <n v="1500"/>
    <n v="1091"/>
    <x v="4"/>
    <x v="83"/>
    <x v="0"/>
    <s v="Credit Card"/>
    <n v="5"/>
    <x v="4"/>
    <s v="Meera"/>
    <s v="Rao"/>
    <x v="0"/>
    <s v="Corporate"/>
    <d v="2023-05-23T00:00:00"/>
  </r>
  <r>
    <n v="232"/>
    <x v="91"/>
    <n v="8"/>
    <n v="1"/>
    <n v="299"/>
    <n v="0.2"/>
    <n v="239"/>
    <n v="8"/>
    <x v="5"/>
    <x v="2"/>
    <n v="299"/>
    <n v="110"/>
    <n v="1092"/>
    <x v="27"/>
    <x v="84"/>
    <x v="0"/>
    <s v="Net Banking"/>
    <n v="2"/>
    <x v="27"/>
    <s v="Rohan"/>
    <s v="Iyer"/>
    <x v="8"/>
    <s v="Consumer"/>
    <d v="2023-01-26T00:00:00"/>
  </r>
  <r>
    <n v="233"/>
    <x v="91"/>
    <n v="12"/>
    <n v="1"/>
    <n v="399"/>
    <n v="0.1"/>
    <n v="359"/>
    <n v="12"/>
    <x v="15"/>
    <x v="4"/>
    <n v="399"/>
    <n v="140"/>
    <n v="1092"/>
    <x v="27"/>
    <x v="84"/>
    <x v="0"/>
    <s v="Net Banking"/>
    <n v="2"/>
    <x v="27"/>
    <s v="Rohan"/>
    <s v="Iyer"/>
    <x v="8"/>
    <s v="Consumer"/>
    <d v="2023-01-26T00:00:00"/>
  </r>
  <r>
    <n v="234"/>
    <x v="91"/>
    <n v="4"/>
    <n v="1"/>
    <n v="2199"/>
    <n v="0"/>
    <n v="2199"/>
    <n v="4"/>
    <x v="0"/>
    <x v="0"/>
    <n v="2199"/>
    <n v="1250"/>
    <n v="1092"/>
    <x v="27"/>
    <x v="84"/>
    <x v="0"/>
    <s v="Net Banking"/>
    <n v="2"/>
    <x v="27"/>
    <s v="Rohan"/>
    <s v="Iyer"/>
    <x v="8"/>
    <s v="Consumer"/>
    <d v="2023-01-26T00:00:00"/>
  </r>
  <r>
    <n v="235"/>
    <x v="91"/>
    <n v="19"/>
    <n v="3"/>
    <n v="499"/>
    <n v="0.1"/>
    <n v="1347"/>
    <n v="19"/>
    <x v="10"/>
    <x v="1"/>
    <n v="499"/>
    <n v="220"/>
    <n v="1092"/>
    <x v="27"/>
    <x v="84"/>
    <x v="0"/>
    <s v="Net Banking"/>
    <n v="2"/>
    <x v="27"/>
    <s v="Rohan"/>
    <s v="Iyer"/>
    <x v="8"/>
    <s v="Consumer"/>
    <d v="2023-01-26T00:00:00"/>
  </r>
  <r>
    <n v="236"/>
    <x v="92"/>
    <n v="2"/>
    <n v="2"/>
    <n v="2499"/>
    <n v="0"/>
    <n v="4998"/>
    <n v="2"/>
    <x v="3"/>
    <x v="0"/>
    <n v="2499"/>
    <n v="1500"/>
    <n v="1093"/>
    <x v="36"/>
    <x v="31"/>
    <x v="0"/>
    <s v="Cash on Delivery"/>
    <n v="6"/>
    <x v="36"/>
    <s v="Isha"/>
    <s v="Kapoor"/>
    <x v="1"/>
    <s v="Consumer"/>
    <d v="2023-09-08T00:00:00"/>
  </r>
  <r>
    <n v="237"/>
    <x v="93"/>
    <n v="19"/>
    <n v="2"/>
    <n v="499"/>
    <n v="0"/>
    <n v="998"/>
    <n v="19"/>
    <x v="10"/>
    <x v="1"/>
    <n v="499"/>
    <n v="220"/>
    <n v="1094"/>
    <x v="37"/>
    <x v="19"/>
    <x v="0"/>
    <s v="Cash on Delivery"/>
    <n v="1"/>
    <x v="37"/>
    <s v="Kabir"/>
    <s v="Naidu"/>
    <x v="7"/>
    <s v="Consumer"/>
    <d v="2025-01-24T00:00:00"/>
  </r>
  <r>
    <n v="238"/>
    <x v="93"/>
    <n v="7"/>
    <n v="1"/>
    <n v="999"/>
    <n v="0"/>
    <n v="999"/>
    <n v="7"/>
    <x v="11"/>
    <x v="4"/>
    <n v="999"/>
    <n v="480"/>
    <n v="1094"/>
    <x v="37"/>
    <x v="19"/>
    <x v="0"/>
    <s v="Cash on Delivery"/>
    <n v="1"/>
    <x v="37"/>
    <s v="Kabir"/>
    <s v="Naidu"/>
    <x v="7"/>
    <s v="Consumer"/>
    <d v="2025-01-24T00:00:00"/>
  </r>
  <r>
    <n v="239"/>
    <x v="94"/>
    <n v="18"/>
    <n v="2"/>
    <n v="3299"/>
    <n v="0"/>
    <n v="6598"/>
    <n v="18"/>
    <x v="6"/>
    <x v="3"/>
    <n v="3299"/>
    <n v="2050"/>
    <n v="1095"/>
    <x v="30"/>
    <x v="85"/>
    <x v="0"/>
    <s v="Credit Card"/>
    <n v="7"/>
    <x v="30"/>
    <s v="Yash"/>
    <s v="Shetty"/>
    <x v="7"/>
    <s v="Consumer"/>
    <d v="2025-04-05T00:00:00"/>
  </r>
  <r>
    <n v="240"/>
    <x v="94"/>
    <n v="9"/>
    <n v="2"/>
    <n v="199"/>
    <n v="0"/>
    <n v="398"/>
    <n v="9"/>
    <x v="13"/>
    <x v="2"/>
    <n v="199"/>
    <n v="65"/>
    <n v="1095"/>
    <x v="30"/>
    <x v="85"/>
    <x v="0"/>
    <s v="Credit Card"/>
    <n v="7"/>
    <x v="30"/>
    <s v="Yash"/>
    <s v="Shetty"/>
    <x v="7"/>
    <s v="Consumer"/>
    <d v="2025-04-05T00:00:00"/>
  </r>
  <r>
    <n v="241"/>
    <x v="95"/>
    <n v="1"/>
    <n v="1"/>
    <n v="799"/>
    <n v="0.2"/>
    <n v="639"/>
    <n v="1"/>
    <x v="12"/>
    <x v="0"/>
    <n v="799"/>
    <n v="420"/>
    <n v="1096"/>
    <x v="37"/>
    <x v="86"/>
    <x v="0"/>
    <s v="Credit Card"/>
    <n v="7"/>
    <x v="37"/>
    <s v="Kabir"/>
    <s v="Naidu"/>
    <x v="7"/>
    <s v="Consumer"/>
    <d v="2025-01-24T00:00:00"/>
  </r>
  <r>
    <n v="242"/>
    <x v="95"/>
    <n v="6"/>
    <n v="1"/>
    <n v="1899"/>
    <n v="0"/>
    <n v="1899"/>
    <n v="6"/>
    <x v="7"/>
    <x v="1"/>
    <n v="1899"/>
    <n v="950"/>
    <n v="1096"/>
    <x v="37"/>
    <x v="86"/>
    <x v="0"/>
    <s v="Credit Card"/>
    <n v="7"/>
    <x v="37"/>
    <s v="Kabir"/>
    <s v="Naidu"/>
    <x v="7"/>
    <s v="Consumer"/>
    <d v="2025-01-24T00:00:00"/>
  </r>
  <r>
    <n v="243"/>
    <x v="95"/>
    <n v="9"/>
    <n v="2"/>
    <n v="199"/>
    <n v="0.1"/>
    <n v="358"/>
    <n v="9"/>
    <x v="13"/>
    <x v="2"/>
    <n v="199"/>
    <n v="65"/>
    <n v="1096"/>
    <x v="37"/>
    <x v="86"/>
    <x v="0"/>
    <s v="Credit Card"/>
    <n v="7"/>
    <x v="37"/>
    <s v="Kabir"/>
    <s v="Naidu"/>
    <x v="7"/>
    <s v="Consumer"/>
    <d v="2025-01-24T00:00:00"/>
  </r>
  <r>
    <n v="244"/>
    <x v="96"/>
    <n v="15"/>
    <n v="1"/>
    <n v="349"/>
    <n v="0.15"/>
    <n v="297"/>
    <n v="15"/>
    <x v="8"/>
    <x v="1"/>
    <n v="349"/>
    <n v="120"/>
    <n v="1097"/>
    <x v="12"/>
    <x v="1"/>
    <x v="3"/>
    <s v="Cash on Delivery"/>
    <n v="0"/>
    <x v="12"/>
    <s v="Ayaan"/>
    <s v="Naidu"/>
    <x v="7"/>
    <s v="Corporate"/>
    <d v="2024-12-19T00:00:00"/>
  </r>
  <r>
    <n v="245"/>
    <x v="97"/>
    <n v="1"/>
    <n v="1"/>
    <n v="799"/>
    <n v="0"/>
    <n v="799"/>
    <n v="1"/>
    <x v="12"/>
    <x v="0"/>
    <n v="799"/>
    <n v="420"/>
    <n v="1098"/>
    <x v="27"/>
    <x v="87"/>
    <x v="3"/>
    <s v="Debit Card"/>
    <n v="0"/>
    <x v="27"/>
    <s v="Rohan"/>
    <s v="Iyer"/>
    <x v="8"/>
    <s v="Consumer"/>
    <d v="2023-01-26T00:00:00"/>
  </r>
  <r>
    <n v="246"/>
    <x v="97"/>
    <n v="2"/>
    <n v="1"/>
    <n v="2499"/>
    <n v="0.1"/>
    <n v="2249"/>
    <n v="2"/>
    <x v="3"/>
    <x v="0"/>
    <n v="2499"/>
    <n v="1500"/>
    <n v="1098"/>
    <x v="27"/>
    <x v="87"/>
    <x v="3"/>
    <s v="Debit Card"/>
    <n v="0"/>
    <x v="27"/>
    <s v="Rohan"/>
    <s v="Iyer"/>
    <x v="8"/>
    <s v="Consumer"/>
    <d v="2023-01-26T00:00:00"/>
  </r>
  <r>
    <n v="247"/>
    <x v="97"/>
    <n v="16"/>
    <n v="1"/>
    <n v="1599"/>
    <n v="0"/>
    <n v="1599"/>
    <n v="16"/>
    <x v="9"/>
    <x v="0"/>
    <n v="1599"/>
    <n v="900"/>
    <n v="1098"/>
    <x v="27"/>
    <x v="87"/>
    <x v="3"/>
    <s v="Debit Card"/>
    <n v="0"/>
    <x v="27"/>
    <s v="Rohan"/>
    <s v="Iyer"/>
    <x v="8"/>
    <s v="Consumer"/>
    <d v="2023-01-26T00:00:00"/>
  </r>
  <r>
    <n v="248"/>
    <x v="97"/>
    <n v="13"/>
    <n v="1"/>
    <n v="10999"/>
    <n v="0"/>
    <n v="10999"/>
    <n v="13"/>
    <x v="2"/>
    <x v="0"/>
    <n v="10999"/>
    <n v="7900"/>
    <n v="1098"/>
    <x v="27"/>
    <x v="87"/>
    <x v="3"/>
    <s v="Debit Card"/>
    <n v="0"/>
    <x v="27"/>
    <s v="Rohan"/>
    <s v="Iyer"/>
    <x v="8"/>
    <s v="Consumer"/>
    <d v="2023-01-26T00:00:00"/>
  </r>
  <r>
    <n v="249"/>
    <x v="98"/>
    <n v="13"/>
    <n v="1"/>
    <n v="10999"/>
    <n v="0.15"/>
    <n v="9349"/>
    <n v="13"/>
    <x v="2"/>
    <x v="0"/>
    <n v="10999"/>
    <n v="7900"/>
    <n v="1099"/>
    <x v="2"/>
    <x v="52"/>
    <x v="0"/>
    <s v="Cash on Delivery"/>
    <n v="5"/>
    <x v="2"/>
    <s v="Vihaan"/>
    <s v="Pillai"/>
    <x v="2"/>
    <s v="Corporate"/>
    <d v="2023-10-09T00:00:00"/>
  </r>
  <r>
    <n v="250"/>
    <x v="98"/>
    <n v="17"/>
    <n v="1"/>
    <n v="8499"/>
    <n v="0.2"/>
    <n v="6799"/>
    <n v="17"/>
    <x v="14"/>
    <x v="4"/>
    <n v="8499"/>
    <n v="6100"/>
    <n v="1099"/>
    <x v="2"/>
    <x v="52"/>
    <x v="0"/>
    <s v="Cash on Delivery"/>
    <n v="5"/>
    <x v="2"/>
    <s v="Vihaan"/>
    <s v="Pillai"/>
    <x v="2"/>
    <s v="Corporate"/>
    <d v="2023-10-09T00:00:00"/>
  </r>
  <r>
    <n v="251"/>
    <x v="98"/>
    <n v="10"/>
    <n v="1"/>
    <n v="599"/>
    <n v="0.2"/>
    <n v="479"/>
    <n v="10"/>
    <x v="18"/>
    <x v="3"/>
    <n v="599"/>
    <n v="260"/>
    <n v="1099"/>
    <x v="2"/>
    <x v="52"/>
    <x v="0"/>
    <s v="Cash on Delivery"/>
    <n v="5"/>
    <x v="2"/>
    <s v="Vihaan"/>
    <s v="Pillai"/>
    <x v="2"/>
    <s v="Corporate"/>
    <d v="2023-10-09T00:00:00"/>
  </r>
  <r>
    <n v="252"/>
    <x v="99"/>
    <n v="11"/>
    <n v="2"/>
    <n v="1099"/>
    <n v="0.05"/>
    <n v="2088"/>
    <n v="11"/>
    <x v="19"/>
    <x v="3"/>
    <n v="1099"/>
    <n v="570"/>
    <n v="1100"/>
    <x v="19"/>
    <x v="88"/>
    <x v="0"/>
    <s v="Credit Card"/>
    <n v="4"/>
    <x v="19"/>
    <s v="Siddhi"/>
    <s v="Verma"/>
    <x v="1"/>
    <s v="Consumer"/>
    <d v="2025-04-08T00:00:00"/>
  </r>
  <r>
    <n v="253"/>
    <x v="99"/>
    <n v="15"/>
    <n v="1"/>
    <n v="349"/>
    <n v="0.2"/>
    <n v="279"/>
    <n v="15"/>
    <x v="8"/>
    <x v="1"/>
    <n v="349"/>
    <n v="120"/>
    <n v="1100"/>
    <x v="19"/>
    <x v="88"/>
    <x v="0"/>
    <s v="Credit Card"/>
    <n v="4"/>
    <x v="19"/>
    <s v="Siddhi"/>
    <s v="Verma"/>
    <x v="1"/>
    <s v="Consumer"/>
    <d v="2025-04-08T00:00:00"/>
  </r>
  <r>
    <n v="254"/>
    <x v="99"/>
    <n v="13"/>
    <n v="1"/>
    <n v="10999"/>
    <n v="0"/>
    <n v="10999"/>
    <n v="13"/>
    <x v="2"/>
    <x v="0"/>
    <n v="10999"/>
    <n v="7900"/>
    <n v="1100"/>
    <x v="19"/>
    <x v="88"/>
    <x v="0"/>
    <s v="Credit Card"/>
    <n v="4"/>
    <x v="19"/>
    <s v="Siddhi"/>
    <s v="Verma"/>
    <x v="1"/>
    <s v="Consumer"/>
    <d v="2025-04-08T00:00:00"/>
  </r>
  <r>
    <n v="255"/>
    <x v="99"/>
    <n v="14"/>
    <n v="2"/>
    <n v="2499"/>
    <n v="0.1"/>
    <n v="4498"/>
    <n v="14"/>
    <x v="17"/>
    <x v="0"/>
    <n v="2499"/>
    <n v="1500"/>
    <n v="1100"/>
    <x v="19"/>
    <x v="88"/>
    <x v="0"/>
    <s v="Credit Card"/>
    <n v="4"/>
    <x v="19"/>
    <s v="Siddhi"/>
    <s v="Verma"/>
    <x v="1"/>
    <s v="Consumer"/>
    <d v="2025-04-08T00:00:00"/>
  </r>
  <r>
    <n v="256"/>
    <x v="100"/>
    <n v="14"/>
    <n v="1"/>
    <n v="2499"/>
    <n v="0.2"/>
    <n v="1999"/>
    <n v="14"/>
    <x v="17"/>
    <x v="0"/>
    <n v="2499"/>
    <n v="1500"/>
    <n v="1101"/>
    <x v="2"/>
    <x v="89"/>
    <x v="2"/>
    <s v="UPI"/>
    <n v="0"/>
    <x v="2"/>
    <s v="Vihaan"/>
    <s v="Pillai"/>
    <x v="2"/>
    <s v="Corporate"/>
    <d v="2023-10-09T00:00:00"/>
  </r>
  <r>
    <n v="257"/>
    <x v="101"/>
    <n v="4"/>
    <n v="2"/>
    <n v="2199"/>
    <n v="0.1"/>
    <n v="3958"/>
    <n v="4"/>
    <x v="0"/>
    <x v="0"/>
    <n v="2199"/>
    <n v="1250"/>
    <n v="1102"/>
    <x v="11"/>
    <x v="90"/>
    <x v="3"/>
    <s v="UPI"/>
    <n v="0"/>
    <x v="11"/>
    <s v="Nisha"/>
    <s v="Joshi"/>
    <x v="5"/>
    <s v="Consumer"/>
    <d v="2023-01-28T00:00:00"/>
  </r>
  <r>
    <n v="258"/>
    <x v="101"/>
    <n v="14"/>
    <n v="2"/>
    <n v="2499"/>
    <n v="0.2"/>
    <n v="3998"/>
    <n v="14"/>
    <x v="17"/>
    <x v="0"/>
    <n v="2499"/>
    <n v="1500"/>
    <n v="1102"/>
    <x v="11"/>
    <x v="90"/>
    <x v="3"/>
    <s v="UPI"/>
    <n v="0"/>
    <x v="11"/>
    <s v="Nisha"/>
    <s v="Joshi"/>
    <x v="5"/>
    <s v="Consumer"/>
    <d v="2023-01-28T00:00:00"/>
  </r>
  <r>
    <n v="259"/>
    <x v="101"/>
    <n v="12"/>
    <n v="1"/>
    <n v="399"/>
    <n v="0.05"/>
    <n v="379"/>
    <n v="12"/>
    <x v="15"/>
    <x v="4"/>
    <n v="399"/>
    <n v="140"/>
    <n v="1102"/>
    <x v="11"/>
    <x v="90"/>
    <x v="3"/>
    <s v="UPI"/>
    <n v="0"/>
    <x v="11"/>
    <s v="Nisha"/>
    <s v="Joshi"/>
    <x v="5"/>
    <s v="Consumer"/>
    <d v="2023-01-28T00:00:00"/>
  </r>
  <r>
    <n v="260"/>
    <x v="102"/>
    <n v="5"/>
    <n v="1"/>
    <n v="1299"/>
    <n v="0"/>
    <n v="1299"/>
    <n v="5"/>
    <x v="4"/>
    <x v="1"/>
    <n v="1299"/>
    <n v="650"/>
    <n v="1103"/>
    <x v="30"/>
    <x v="65"/>
    <x v="0"/>
    <s v="Cash on Delivery"/>
    <n v="1"/>
    <x v="30"/>
    <s v="Yash"/>
    <s v="Shetty"/>
    <x v="7"/>
    <s v="Consumer"/>
    <d v="2025-04-05T00:00:00"/>
  </r>
  <r>
    <n v="261"/>
    <x v="102"/>
    <n v="16"/>
    <n v="1"/>
    <n v="1599"/>
    <n v="0.15"/>
    <n v="1359"/>
    <n v="16"/>
    <x v="9"/>
    <x v="0"/>
    <n v="1599"/>
    <n v="900"/>
    <n v="1103"/>
    <x v="30"/>
    <x v="65"/>
    <x v="0"/>
    <s v="Cash on Delivery"/>
    <n v="1"/>
    <x v="30"/>
    <s v="Yash"/>
    <s v="Shetty"/>
    <x v="7"/>
    <s v="Consumer"/>
    <d v="2025-04-05T00:00:00"/>
  </r>
  <r>
    <n v="262"/>
    <x v="103"/>
    <n v="14"/>
    <n v="3"/>
    <n v="2499"/>
    <n v="0.15"/>
    <n v="6372"/>
    <n v="14"/>
    <x v="17"/>
    <x v="0"/>
    <n v="2499"/>
    <n v="1500"/>
    <n v="1104"/>
    <x v="11"/>
    <x v="59"/>
    <x v="2"/>
    <s v="Debit Card"/>
    <n v="0"/>
    <x v="11"/>
    <s v="Nisha"/>
    <s v="Joshi"/>
    <x v="5"/>
    <s v="Consumer"/>
    <d v="2023-01-28T00:00:00"/>
  </r>
  <r>
    <n v="263"/>
    <x v="103"/>
    <n v="18"/>
    <n v="1"/>
    <n v="3299"/>
    <n v="0.2"/>
    <n v="2639"/>
    <n v="18"/>
    <x v="6"/>
    <x v="3"/>
    <n v="3299"/>
    <n v="2050"/>
    <n v="1104"/>
    <x v="11"/>
    <x v="59"/>
    <x v="2"/>
    <s v="Debit Card"/>
    <n v="0"/>
    <x v="11"/>
    <s v="Nisha"/>
    <s v="Joshi"/>
    <x v="5"/>
    <s v="Consumer"/>
    <d v="2023-01-28T00:00:00"/>
  </r>
  <r>
    <n v="264"/>
    <x v="104"/>
    <n v="6"/>
    <n v="1"/>
    <n v="1899"/>
    <n v="0.05"/>
    <n v="1804"/>
    <n v="6"/>
    <x v="7"/>
    <x v="1"/>
    <n v="1899"/>
    <n v="950"/>
    <n v="1105"/>
    <x v="19"/>
    <x v="44"/>
    <x v="3"/>
    <s v="Debit Card"/>
    <n v="0"/>
    <x v="19"/>
    <s v="Siddhi"/>
    <s v="Verma"/>
    <x v="1"/>
    <s v="Consumer"/>
    <d v="2025-04-08T00:00:00"/>
  </r>
  <r>
    <n v="265"/>
    <x v="105"/>
    <n v="3"/>
    <n v="2"/>
    <n v="1799"/>
    <n v="0"/>
    <n v="3598"/>
    <n v="3"/>
    <x v="1"/>
    <x v="0"/>
    <n v="1799"/>
    <n v="980"/>
    <n v="1106"/>
    <x v="5"/>
    <x v="91"/>
    <x v="0"/>
    <s v="Credit Card"/>
    <n v="2"/>
    <x v="5"/>
    <s v="Sneha"/>
    <s v="Gupta"/>
    <x v="4"/>
    <s v="Small Business"/>
    <d v="2024-06-01T00:00:00"/>
  </r>
  <r>
    <n v="266"/>
    <x v="105"/>
    <n v="5"/>
    <n v="1"/>
    <n v="1299"/>
    <n v="0.1"/>
    <n v="1169"/>
    <n v="5"/>
    <x v="4"/>
    <x v="1"/>
    <n v="1299"/>
    <n v="650"/>
    <n v="1106"/>
    <x v="5"/>
    <x v="91"/>
    <x v="0"/>
    <s v="Credit Card"/>
    <n v="2"/>
    <x v="5"/>
    <s v="Sneha"/>
    <s v="Gupta"/>
    <x v="4"/>
    <s v="Small Business"/>
    <d v="2024-06-01T00:00:00"/>
  </r>
  <r>
    <n v="267"/>
    <x v="105"/>
    <n v="1"/>
    <n v="1"/>
    <n v="799"/>
    <n v="0.05"/>
    <n v="759"/>
    <n v="1"/>
    <x v="12"/>
    <x v="0"/>
    <n v="799"/>
    <n v="420"/>
    <n v="1106"/>
    <x v="5"/>
    <x v="91"/>
    <x v="0"/>
    <s v="Credit Card"/>
    <n v="2"/>
    <x v="5"/>
    <s v="Sneha"/>
    <s v="Gupta"/>
    <x v="4"/>
    <s v="Small Business"/>
    <d v="2024-06-01T00:00:00"/>
  </r>
  <r>
    <n v="268"/>
    <x v="105"/>
    <n v="20"/>
    <n v="1"/>
    <n v="449"/>
    <n v="0.05"/>
    <n v="427"/>
    <n v="20"/>
    <x v="16"/>
    <x v="2"/>
    <n v="449"/>
    <n v="180"/>
    <n v="1106"/>
    <x v="5"/>
    <x v="91"/>
    <x v="0"/>
    <s v="Credit Card"/>
    <n v="2"/>
    <x v="5"/>
    <s v="Sneha"/>
    <s v="Gupta"/>
    <x v="4"/>
    <s v="Small Business"/>
    <d v="2024-06-01T00:00:00"/>
  </r>
  <r>
    <n v="269"/>
    <x v="106"/>
    <n v="20"/>
    <n v="2"/>
    <n v="449"/>
    <n v="0.05"/>
    <n v="853"/>
    <n v="20"/>
    <x v="16"/>
    <x v="2"/>
    <n v="449"/>
    <n v="180"/>
    <n v="1107"/>
    <x v="25"/>
    <x v="55"/>
    <x v="0"/>
    <s v="Credit Card"/>
    <n v="1"/>
    <x v="25"/>
    <s v="Harsh"/>
    <s v="Mehta"/>
    <x v="3"/>
    <s v="Small Business"/>
    <d v="2023-01-07T00:00:00"/>
  </r>
  <r>
    <n v="270"/>
    <x v="106"/>
    <n v="2"/>
    <n v="1"/>
    <n v="2499"/>
    <n v="0.1"/>
    <n v="2249"/>
    <n v="2"/>
    <x v="3"/>
    <x v="0"/>
    <n v="2499"/>
    <n v="1500"/>
    <n v="1107"/>
    <x v="25"/>
    <x v="55"/>
    <x v="0"/>
    <s v="Credit Card"/>
    <n v="1"/>
    <x v="25"/>
    <s v="Harsh"/>
    <s v="Mehta"/>
    <x v="3"/>
    <s v="Small Business"/>
    <d v="2023-01-07T00:00:00"/>
  </r>
  <r>
    <n v="271"/>
    <x v="107"/>
    <n v="17"/>
    <n v="1"/>
    <n v="8499"/>
    <n v="0"/>
    <n v="8499"/>
    <n v="17"/>
    <x v="14"/>
    <x v="4"/>
    <n v="8499"/>
    <n v="6100"/>
    <n v="1108"/>
    <x v="13"/>
    <x v="92"/>
    <x v="0"/>
    <s v="Debit Card"/>
    <n v="4"/>
    <x v="13"/>
    <s v="Anika"/>
    <s v="Chowdhury"/>
    <x v="4"/>
    <s v="Corporate"/>
    <d v="2023-08-14T00:00:00"/>
  </r>
  <r>
    <n v="272"/>
    <x v="107"/>
    <n v="4"/>
    <n v="1"/>
    <n v="2199"/>
    <n v="0.2"/>
    <n v="1759"/>
    <n v="4"/>
    <x v="0"/>
    <x v="0"/>
    <n v="2199"/>
    <n v="1250"/>
    <n v="1108"/>
    <x v="13"/>
    <x v="92"/>
    <x v="0"/>
    <s v="Debit Card"/>
    <n v="4"/>
    <x v="13"/>
    <s v="Anika"/>
    <s v="Chowdhury"/>
    <x v="4"/>
    <s v="Corporate"/>
    <d v="2023-08-14T00:00:00"/>
  </r>
  <r>
    <n v="273"/>
    <x v="108"/>
    <n v="8"/>
    <n v="1"/>
    <n v="299"/>
    <n v="0.15"/>
    <n v="254"/>
    <n v="8"/>
    <x v="5"/>
    <x v="2"/>
    <n v="299"/>
    <n v="110"/>
    <n v="1109"/>
    <x v="14"/>
    <x v="93"/>
    <x v="3"/>
    <s v="Debit Card"/>
    <n v="0"/>
    <x v="14"/>
    <s v="Tanvi"/>
    <s v="Mishra"/>
    <x v="0"/>
    <s v="Corporate"/>
    <d v="2025-02-16T00:00:00"/>
  </r>
  <r>
    <n v="274"/>
    <x v="109"/>
    <n v="9"/>
    <n v="1"/>
    <n v="199"/>
    <n v="0"/>
    <n v="199"/>
    <n v="9"/>
    <x v="13"/>
    <x v="2"/>
    <n v="199"/>
    <n v="65"/>
    <n v="1110"/>
    <x v="29"/>
    <x v="94"/>
    <x v="0"/>
    <s v="Credit Card"/>
    <n v="3"/>
    <x v="29"/>
    <s v="Ananya"/>
    <s v="Joshi"/>
    <x v="5"/>
    <s v="Small Business"/>
    <d v="2025-01-29T00:00:00"/>
  </r>
  <r>
    <n v="275"/>
    <x v="109"/>
    <n v="10"/>
    <n v="1"/>
    <n v="599"/>
    <n v="0.1"/>
    <n v="539"/>
    <n v="10"/>
    <x v="18"/>
    <x v="3"/>
    <n v="599"/>
    <n v="260"/>
    <n v="1110"/>
    <x v="29"/>
    <x v="94"/>
    <x v="0"/>
    <s v="Credit Card"/>
    <n v="3"/>
    <x v="29"/>
    <s v="Ananya"/>
    <s v="Joshi"/>
    <x v="5"/>
    <s v="Small Business"/>
    <d v="2025-01-29T00:00:00"/>
  </r>
  <r>
    <n v="276"/>
    <x v="110"/>
    <n v="3"/>
    <n v="1"/>
    <n v="1799"/>
    <n v="0.1"/>
    <n v="1619"/>
    <n v="3"/>
    <x v="1"/>
    <x v="0"/>
    <n v="1799"/>
    <n v="980"/>
    <n v="1111"/>
    <x v="22"/>
    <x v="90"/>
    <x v="0"/>
    <s v="Credit Card"/>
    <n v="5"/>
    <x v="22"/>
    <s v="Priya"/>
    <s v="Chowdhury"/>
    <x v="4"/>
    <s v="Consumer"/>
    <d v="2025-01-28T00:00:00"/>
  </r>
  <r>
    <n v="277"/>
    <x v="110"/>
    <n v="13"/>
    <n v="2"/>
    <n v="10999"/>
    <n v="0.05"/>
    <n v="20898"/>
    <n v="13"/>
    <x v="2"/>
    <x v="0"/>
    <n v="10999"/>
    <n v="7900"/>
    <n v="1111"/>
    <x v="22"/>
    <x v="90"/>
    <x v="0"/>
    <s v="Credit Card"/>
    <n v="5"/>
    <x v="22"/>
    <s v="Priya"/>
    <s v="Chowdhury"/>
    <x v="4"/>
    <s v="Consumer"/>
    <d v="2025-01-28T00:00:00"/>
  </r>
  <r>
    <n v="278"/>
    <x v="110"/>
    <n v="2"/>
    <n v="1"/>
    <n v="2499"/>
    <n v="0.15"/>
    <n v="2124"/>
    <n v="2"/>
    <x v="3"/>
    <x v="0"/>
    <n v="2499"/>
    <n v="1500"/>
    <n v="1111"/>
    <x v="22"/>
    <x v="90"/>
    <x v="0"/>
    <s v="Credit Card"/>
    <n v="5"/>
    <x v="22"/>
    <s v="Priya"/>
    <s v="Chowdhury"/>
    <x v="4"/>
    <s v="Consumer"/>
    <d v="2025-01-28T00:00:00"/>
  </r>
  <r>
    <n v="279"/>
    <x v="111"/>
    <n v="13"/>
    <n v="1"/>
    <n v="10999"/>
    <n v="0.05"/>
    <n v="10449"/>
    <n v="13"/>
    <x v="2"/>
    <x v="0"/>
    <n v="10999"/>
    <n v="7900"/>
    <n v="1112"/>
    <x v="1"/>
    <x v="95"/>
    <x v="1"/>
    <s v="Debit Card"/>
    <n v="4"/>
    <x v="1"/>
    <s v="Tara"/>
    <s v="Kapoor"/>
    <x v="1"/>
    <s v="Corporate"/>
    <d v="2023-07-23T00:00:00"/>
  </r>
  <r>
    <n v="280"/>
    <x v="112"/>
    <n v="14"/>
    <n v="2"/>
    <n v="2499"/>
    <n v="0"/>
    <n v="4998"/>
    <n v="14"/>
    <x v="17"/>
    <x v="0"/>
    <n v="2499"/>
    <n v="1500"/>
    <n v="1113"/>
    <x v="32"/>
    <x v="96"/>
    <x v="0"/>
    <s v="Debit Card"/>
    <n v="7"/>
    <x v="32"/>
    <s v="Aditya"/>
    <s v="Nair"/>
    <x v="6"/>
    <s v="Corporate"/>
    <d v="2024-11-23T00:00:00"/>
  </r>
  <r>
    <n v="281"/>
    <x v="113"/>
    <n v="10"/>
    <n v="2"/>
    <n v="599"/>
    <n v="0"/>
    <n v="1198"/>
    <n v="10"/>
    <x v="18"/>
    <x v="3"/>
    <n v="599"/>
    <n v="260"/>
    <n v="1114"/>
    <x v="0"/>
    <x v="97"/>
    <x v="0"/>
    <s v="UPI"/>
    <n v="5"/>
    <x v="0"/>
    <s v="Mira"/>
    <s v="Rao"/>
    <x v="0"/>
    <s v="Small Business"/>
    <d v="2024-10-27T00:00:00"/>
  </r>
  <r>
    <n v="282"/>
    <x v="113"/>
    <n v="11"/>
    <n v="1"/>
    <n v="1099"/>
    <n v="0"/>
    <n v="1099"/>
    <n v="11"/>
    <x v="19"/>
    <x v="3"/>
    <n v="1099"/>
    <n v="570"/>
    <n v="1114"/>
    <x v="0"/>
    <x v="97"/>
    <x v="0"/>
    <s v="UPI"/>
    <n v="5"/>
    <x v="0"/>
    <s v="Mira"/>
    <s v="Rao"/>
    <x v="0"/>
    <s v="Small Business"/>
    <d v="2024-10-27T00:00:00"/>
  </r>
  <r>
    <n v="283"/>
    <x v="113"/>
    <n v="8"/>
    <n v="1"/>
    <n v="299"/>
    <n v="0"/>
    <n v="299"/>
    <n v="8"/>
    <x v="5"/>
    <x v="2"/>
    <n v="299"/>
    <n v="110"/>
    <n v="1114"/>
    <x v="0"/>
    <x v="97"/>
    <x v="0"/>
    <s v="UPI"/>
    <n v="5"/>
    <x v="0"/>
    <s v="Mira"/>
    <s v="Rao"/>
    <x v="0"/>
    <s v="Small Business"/>
    <d v="2024-10-27T00:00:00"/>
  </r>
  <r>
    <n v="284"/>
    <x v="113"/>
    <n v="19"/>
    <n v="2"/>
    <n v="499"/>
    <n v="0.05"/>
    <n v="948"/>
    <n v="19"/>
    <x v="10"/>
    <x v="1"/>
    <n v="499"/>
    <n v="220"/>
    <n v="1114"/>
    <x v="0"/>
    <x v="97"/>
    <x v="0"/>
    <s v="UPI"/>
    <n v="5"/>
    <x v="0"/>
    <s v="Mira"/>
    <s v="Rao"/>
    <x v="0"/>
    <s v="Small Business"/>
    <d v="2024-10-27T00:00:00"/>
  </r>
  <r>
    <n v="285"/>
    <x v="114"/>
    <n v="4"/>
    <n v="1"/>
    <n v="2199"/>
    <n v="0"/>
    <n v="2199"/>
    <n v="4"/>
    <x v="0"/>
    <x v="0"/>
    <n v="2199"/>
    <n v="1250"/>
    <n v="1115"/>
    <x v="21"/>
    <x v="98"/>
    <x v="2"/>
    <s v="Credit Card"/>
    <n v="0"/>
    <x v="21"/>
    <s v="Sai"/>
    <s v="Iyer"/>
    <x v="8"/>
    <s v="Corporate"/>
    <d v="2024-09-08T00:00:00"/>
  </r>
  <r>
    <n v="286"/>
    <x v="114"/>
    <n v="5"/>
    <n v="1"/>
    <n v="1299"/>
    <n v="0.2"/>
    <n v="1039"/>
    <n v="5"/>
    <x v="4"/>
    <x v="1"/>
    <n v="1299"/>
    <n v="650"/>
    <n v="1115"/>
    <x v="21"/>
    <x v="98"/>
    <x v="2"/>
    <s v="Credit Card"/>
    <n v="0"/>
    <x v="21"/>
    <s v="Sai"/>
    <s v="Iyer"/>
    <x v="8"/>
    <s v="Corporate"/>
    <d v="2024-09-08T00:00:00"/>
  </r>
  <r>
    <n v="287"/>
    <x v="115"/>
    <n v="19"/>
    <n v="2"/>
    <n v="499"/>
    <n v="0.2"/>
    <n v="798"/>
    <n v="19"/>
    <x v="10"/>
    <x v="1"/>
    <n v="499"/>
    <n v="220"/>
    <n v="1116"/>
    <x v="2"/>
    <x v="99"/>
    <x v="2"/>
    <s v="Net Banking"/>
    <n v="0"/>
    <x v="2"/>
    <s v="Vihaan"/>
    <s v="Pillai"/>
    <x v="2"/>
    <s v="Corporate"/>
    <d v="2023-10-09T00:00:00"/>
  </r>
  <r>
    <n v="288"/>
    <x v="115"/>
    <n v="20"/>
    <n v="1"/>
    <n v="449"/>
    <n v="0.1"/>
    <n v="404"/>
    <n v="20"/>
    <x v="16"/>
    <x v="2"/>
    <n v="449"/>
    <n v="180"/>
    <n v="1116"/>
    <x v="2"/>
    <x v="99"/>
    <x v="2"/>
    <s v="Net Banking"/>
    <n v="0"/>
    <x v="2"/>
    <s v="Vihaan"/>
    <s v="Pillai"/>
    <x v="2"/>
    <s v="Corporate"/>
    <d v="2023-10-09T00:00:00"/>
  </r>
  <r>
    <n v="289"/>
    <x v="115"/>
    <n v="15"/>
    <n v="1"/>
    <n v="349"/>
    <n v="0.1"/>
    <n v="314"/>
    <n v="15"/>
    <x v="8"/>
    <x v="1"/>
    <n v="349"/>
    <n v="120"/>
    <n v="1116"/>
    <x v="2"/>
    <x v="99"/>
    <x v="2"/>
    <s v="Net Banking"/>
    <n v="0"/>
    <x v="2"/>
    <s v="Vihaan"/>
    <s v="Pillai"/>
    <x v="2"/>
    <s v="Corporate"/>
    <d v="2023-10-09T00:00:00"/>
  </r>
  <r>
    <n v="290"/>
    <x v="115"/>
    <n v="11"/>
    <n v="1"/>
    <n v="1099"/>
    <n v="0.05"/>
    <n v="1044"/>
    <n v="11"/>
    <x v="19"/>
    <x v="3"/>
    <n v="1099"/>
    <n v="570"/>
    <n v="1116"/>
    <x v="2"/>
    <x v="99"/>
    <x v="2"/>
    <s v="Net Banking"/>
    <n v="0"/>
    <x v="2"/>
    <s v="Vihaan"/>
    <s v="Pillai"/>
    <x v="2"/>
    <s v="Corporate"/>
    <d v="2023-10-09T00:00:00"/>
  </r>
  <r>
    <n v="291"/>
    <x v="116"/>
    <n v="15"/>
    <n v="1"/>
    <n v="349"/>
    <n v="0.05"/>
    <n v="332"/>
    <n v="15"/>
    <x v="8"/>
    <x v="1"/>
    <n v="349"/>
    <n v="120"/>
    <n v="1117"/>
    <x v="14"/>
    <x v="12"/>
    <x v="0"/>
    <s v="UPI"/>
    <n v="5"/>
    <x v="14"/>
    <s v="Tanvi"/>
    <s v="Mishra"/>
    <x v="0"/>
    <s v="Corporate"/>
    <d v="2025-02-16T00:00:00"/>
  </r>
  <r>
    <n v="292"/>
    <x v="116"/>
    <n v="20"/>
    <n v="1"/>
    <n v="449"/>
    <n v="0"/>
    <n v="449"/>
    <n v="20"/>
    <x v="16"/>
    <x v="2"/>
    <n v="449"/>
    <n v="180"/>
    <n v="1117"/>
    <x v="14"/>
    <x v="12"/>
    <x v="0"/>
    <s v="UPI"/>
    <n v="5"/>
    <x v="14"/>
    <s v="Tanvi"/>
    <s v="Mishra"/>
    <x v="0"/>
    <s v="Corporate"/>
    <d v="2025-02-16T00:00:00"/>
  </r>
  <r>
    <n v="293"/>
    <x v="116"/>
    <n v="2"/>
    <n v="1"/>
    <n v="2499"/>
    <n v="0.15"/>
    <n v="2124"/>
    <n v="2"/>
    <x v="3"/>
    <x v="0"/>
    <n v="2499"/>
    <n v="1500"/>
    <n v="1117"/>
    <x v="14"/>
    <x v="12"/>
    <x v="0"/>
    <s v="UPI"/>
    <n v="5"/>
    <x v="14"/>
    <s v="Tanvi"/>
    <s v="Mishra"/>
    <x v="0"/>
    <s v="Corporate"/>
    <d v="2025-02-16T00:00:00"/>
  </r>
  <r>
    <n v="294"/>
    <x v="117"/>
    <n v="15"/>
    <n v="2"/>
    <n v="349"/>
    <n v="0.15"/>
    <n v="593"/>
    <n v="15"/>
    <x v="8"/>
    <x v="1"/>
    <n v="349"/>
    <n v="120"/>
    <n v="1118"/>
    <x v="7"/>
    <x v="100"/>
    <x v="3"/>
    <s v="Cash on Delivery"/>
    <n v="0"/>
    <x v="7"/>
    <s v="Manav"/>
    <s v="Pillai"/>
    <x v="2"/>
    <s v="Small Business"/>
    <d v="2024-07-28T00:00:00"/>
  </r>
  <r>
    <n v="295"/>
    <x v="118"/>
    <n v="2"/>
    <n v="1"/>
    <n v="2499"/>
    <n v="0.05"/>
    <n v="2374"/>
    <n v="2"/>
    <x v="3"/>
    <x v="0"/>
    <n v="2499"/>
    <n v="1500"/>
    <n v="1119"/>
    <x v="31"/>
    <x v="101"/>
    <x v="3"/>
    <s v="Net Banking"/>
    <n v="0"/>
    <x v="31"/>
    <s v="Ishaan"/>
    <s v="Jain"/>
    <x v="8"/>
    <s v="Small Business"/>
    <d v="2024-07-12T00:00:00"/>
  </r>
  <r>
    <n v="296"/>
    <x v="118"/>
    <n v="15"/>
    <n v="3"/>
    <n v="349"/>
    <n v="0"/>
    <n v="1047"/>
    <n v="15"/>
    <x v="8"/>
    <x v="1"/>
    <n v="349"/>
    <n v="120"/>
    <n v="1119"/>
    <x v="31"/>
    <x v="101"/>
    <x v="3"/>
    <s v="Net Banking"/>
    <n v="0"/>
    <x v="31"/>
    <s v="Ishaan"/>
    <s v="Jain"/>
    <x v="8"/>
    <s v="Small Business"/>
    <d v="2024-07-12T00:00:00"/>
  </r>
  <r>
    <n v="297"/>
    <x v="119"/>
    <n v="15"/>
    <n v="1"/>
    <n v="349"/>
    <n v="0.05"/>
    <n v="332"/>
    <n v="15"/>
    <x v="8"/>
    <x v="1"/>
    <n v="349"/>
    <n v="120"/>
    <n v="1120"/>
    <x v="16"/>
    <x v="98"/>
    <x v="0"/>
    <s v="Credit Card"/>
    <n v="1"/>
    <x v="16"/>
    <s v="Varun"/>
    <s v="Jain"/>
    <x v="8"/>
    <s v="Consumer"/>
    <d v="2024-04-04T00:00:00"/>
  </r>
  <r>
    <n v="298"/>
    <x v="119"/>
    <n v="17"/>
    <n v="1"/>
    <n v="8499"/>
    <n v="0.05"/>
    <n v="8074"/>
    <n v="17"/>
    <x v="14"/>
    <x v="4"/>
    <n v="8499"/>
    <n v="6100"/>
    <n v="1120"/>
    <x v="16"/>
    <x v="98"/>
    <x v="0"/>
    <s v="Credit Card"/>
    <n v="1"/>
    <x v="16"/>
    <s v="Varun"/>
    <s v="Jain"/>
    <x v="8"/>
    <s v="Consumer"/>
    <d v="2024-04-04T00:00:00"/>
  </r>
  <r>
    <n v="299"/>
    <x v="119"/>
    <n v="19"/>
    <n v="2"/>
    <n v="499"/>
    <n v="0"/>
    <n v="998"/>
    <n v="19"/>
    <x v="10"/>
    <x v="1"/>
    <n v="499"/>
    <n v="220"/>
    <n v="1120"/>
    <x v="16"/>
    <x v="98"/>
    <x v="0"/>
    <s v="Credit Card"/>
    <n v="1"/>
    <x v="16"/>
    <s v="Varun"/>
    <s v="Jain"/>
    <x v="8"/>
    <s v="Consumer"/>
    <d v="2024-04-04T00:00:00"/>
  </r>
  <r>
    <n v="300"/>
    <x v="119"/>
    <n v="6"/>
    <n v="2"/>
    <n v="1899"/>
    <n v="0.2"/>
    <n v="3038"/>
    <n v="6"/>
    <x v="7"/>
    <x v="1"/>
    <n v="1899"/>
    <n v="950"/>
    <n v="1120"/>
    <x v="16"/>
    <x v="98"/>
    <x v="0"/>
    <s v="Credit Card"/>
    <n v="1"/>
    <x v="16"/>
    <s v="Varun"/>
    <s v="Jain"/>
    <x v="8"/>
    <s v="Consumer"/>
    <d v="2024-04-04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19715-697D-4311-9706-BBC78874055B}" name="PivotTable1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J68:J69" firstHeaderRow="1" firstDataRow="1" firstDataCol="0"/>
  <pivotFields count="26">
    <pivotField showAll="0"/>
    <pivotField showAll="0"/>
    <pivotField showAll="0"/>
    <pivotField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items count="39">
        <item x="18"/>
        <item x="24"/>
        <item x="27"/>
        <item x="29"/>
        <item x="2"/>
        <item x="36"/>
        <item x="3"/>
        <item x="4"/>
        <item x="37"/>
        <item x="20"/>
        <item x="32"/>
        <item x="22"/>
        <item x="31"/>
        <item x="6"/>
        <item x="8"/>
        <item x="17"/>
        <item x="9"/>
        <item x="28"/>
        <item x="34"/>
        <item x="35"/>
        <item x="10"/>
        <item x="5"/>
        <item x="21"/>
        <item x="11"/>
        <item x="7"/>
        <item x="1"/>
        <item x="33"/>
        <item x="0"/>
        <item x="12"/>
        <item x="23"/>
        <item x="15"/>
        <item x="13"/>
        <item x="16"/>
        <item x="26"/>
        <item x="19"/>
        <item x="25"/>
        <item x="14"/>
        <item x="30"/>
        <item t="default"/>
      </items>
    </pivotField>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x="0"/>
        <item x="2"/>
        <item x="1"/>
        <item t="default"/>
      </items>
    </pivotField>
    <pivotField showAll="0"/>
    <pivotField showAll="0"/>
    <pivotField dataField="1"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customers.customer_id" fld="18" subtotal="count" baseField="13"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A1B29-9649-4D59-94F5-8A15F135FB97}" name="PivotTable1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92:A93" firstHeaderRow="1" firstDataRow="1" firstDataCol="0"/>
  <pivotFields count="26">
    <pivotField showAll="0"/>
    <pivotField showAll="0"/>
    <pivotField showAll="0"/>
    <pivotField dataField="1"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fld="3" baseField="0"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EC81EE-0C97-471B-A1F0-C7D14D4389D7}" name="PivotTable1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F70:F71" firstHeaderRow="1" firstDataRow="1" firstDataCol="0" rowPageCount="1" colPageCount="1"/>
  <pivotFields count="26">
    <pivotField showAll="0"/>
    <pivotField showAll="0"/>
    <pivotField showAll="0"/>
    <pivotField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dataField="1"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axis="axisPage"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pageFields count="1">
    <pageField fld="15" item="0" hier="-1"/>
  </pageFields>
  <dataFields count="1">
    <dataField name="Count of orders.order_id" fld="12" subtotal="count" baseField="0"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814007-11C3-4776-98DD-E600E84D91F1}" name="PivotTable1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D71:E76" firstHeaderRow="1" firstDataRow="1" firstDataCol="1"/>
  <pivotFields count="26">
    <pivotField showAll="0"/>
    <pivotField showAll="0"/>
    <pivotField showAll="0"/>
    <pivotField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dataField="1"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axis="axisRow"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5">
    <i>
      <x/>
    </i>
    <i>
      <x v="1"/>
    </i>
    <i>
      <x v="2"/>
    </i>
    <i>
      <x v="3"/>
    </i>
    <i t="grand">
      <x/>
    </i>
  </rowItems>
  <colItems count="1">
    <i/>
  </colItems>
  <dataFields count="1">
    <dataField name="Count of orders.order_id" fld="12" subtotal="count" baseField="15"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A3BF2B-DEC9-4D3B-B53A-8378B00E3D0F}" name="PivotTable10"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E66:E67" firstHeaderRow="1" firstDataRow="1" firstDataCol="0"/>
  <pivotFields count="26">
    <pivotField showAll="0"/>
    <pivotField dataField="1" showAll="0"/>
    <pivotField showAll="0"/>
    <pivotField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h="1" x="0"/>
        <item h="1" x="2"/>
        <item h="1"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8B0892-1BA7-4076-AE3C-C149C91C319E}" name="PivotTable6"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63:A64" firstHeaderRow="1" firstDataRow="1" firstDataCol="0"/>
  <pivotFields count="26">
    <pivotField showAll="0"/>
    <pivotField dataField="1" showAll="0"/>
    <pivotField showAll="0"/>
    <pivotField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9E2A85-EB9A-43CF-9AB0-EE161EB6C42A}"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59:A60" firstHeaderRow="1" firstDataRow="1" firstDataCol="0"/>
  <pivotFields count="26">
    <pivotField showAll="0"/>
    <pivotField showAll="0"/>
    <pivotField showAll="0"/>
    <pivotField showAll="0"/>
    <pivotField showAll="0"/>
    <pivotField showAll="0"/>
    <pivotField dataField="1"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line_total" fld="6" baseField="0" baseItem="0"/>
  </dataField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87DDF9-48EA-4611-BB73-43F6B3BC73FE}" name="PivotTable2"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20:B41" firstHeaderRow="1" firstDataRow="1" firstDataCol="1"/>
  <pivotFields count="26">
    <pivotField showAll="0"/>
    <pivotField showAll="0"/>
    <pivotField showAll="0"/>
    <pivotField showAll="0"/>
    <pivotField showAll="0"/>
    <pivotField showAll="0"/>
    <pivotField dataField="1" showAll="0"/>
    <pivotField showAll="0"/>
    <pivotField axis="axisRow"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line_total" fld="6" baseField="0" baseItem="0"/>
  </dataFields>
  <chartFormats count="4">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68CD97-C94A-4400-9FB4-6AB774C81639}"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14" firstHeaderRow="1" firstDataRow="1" firstDataCol="1"/>
  <pivotFields count="26">
    <pivotField showAll="0"/>
    <pivotField showAll="0"/>
    <pivotField showAll="0"/>
    <pivotField showAll="0"/>
    <pivotField showAll="0"/>
    <pivotField showAll="0"/>
    <pivotField dataField="1" showAll="0"/>
    <pivotField showAll="0"/>
    <pivotField showAll="0"/>
    <pivotField showAll="0">
      <items count="6">
        <item x="1"/>
        <item x="0"/>
        <item x="4"/>
        <item x="3"/>
        <item x="2"/>
        <item t="default"/>
      </items>
    </pivotField>
    <pivotField showAll="0"/>
    <pivotField showAll="0"/>
    <pivotField showAll="0"/>
    <pivotField showAll="0"/>
    <pivotField axis="axisRow"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h="1" x="0"/>
        <item h="1" x="2"/>
        <item h="1"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5"/>
    <field x="14"/>
  </rowFields>
  <rowItems count="13">
    <i>
      <x v="1"/>
    </i>
    <i>
      <x v="2"/>
    </i>
    <i>
      <x v="3"/>
    </i>
    <i>
      <x v="4"/>
    </i>
    <i>
      <x v="5"/>
    </i>
    <i>
      <x v="6"/>
    </i>
    <i>
      <x v="7"/>
    </i>
    <i>
      <x v="8"/>
    </i>
    <i>
      <x v="9"/>
    </i>
    <i>
      <x v="10"/>
    </i>
    <i>
      <x v="11"/>
    </i>
    <i>
      <x v="12"/>
    </i>
    <i t="grand">
      <x/>
    </i>
  </rowItems>
  <colItems count="1">
    <i/>
  </colItems>
  <dataFields count="1">
    <dataField name="Sum of line_total" fld="6"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5" count="1" selected="0">
            <x v="3"/>
          </reference>
        </references>
      </pivotArea>
    </chartFormat>
    <chartFormat chart="9" format="3"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25" count="1" selected="0">
            <x v="9"/>
          </reference>
        </references>
      </pivotArea>
    </chartFormat>
  </chartFormat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B75F2D-B621-4B1B-853F-DBCF5C8A6620}"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A51:B56" firstHeaderRow="1" firstDataRow="1" firstDataCol="1"/>
  <pivotFields count="26">
    <pivotField showAll="0"/>
    <pivotField dataField="1" showAll="0"/>
    <pivotField showAll="0"/>
    <pivotField showAll="0"/>
    <pivotField showAll="0"/>
    <pivotField showAll="0"/>
    <pivotField showAll="0"/>
    <pivotField showAll="0"/>
    <pivotField showAll="0">
      <items count="21">
        <item x="7"/>
        <item x="0"/>
        <item x="15"/>
        <item x="11"/>
        <item x="13"/>
        <item x="4"/>
        <item x="3"/>
        <item x="2"/>
        <item x="5"/>
        <item x="14"/>
        <item x="8"/>
        <item x="16"/>
        <item x="9"/>
        <item x="6"/>
        <item x="10"/>
        <item x="1"/>
        <item x="18"/>
        <item x="17"/>
        <item x="12"/>
        <item x="19"/>
        <item t="default"/>
      </items>
    </pivotField>
    <pivotField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axis="axisRow"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5">
    <i>
      <x/>
    </i>
    <i>
      <x v="1"/>
    </i>
    <i>
      <x v="2"/>
    </i>
    <i>
      <x v="3"/>
    </i>
    <i t="grand">
      <x/>
    </i>
  </rowItems>
  <colItems count="1">
    <i/>
  </colItems>
  <dataFields count="1">
    <dataField name="Count of order_id" fld="1" subtotal="count" baseField="15" baseItem="0"/>
  </dataFields>
  <chartFormats count="1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5"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15" count="1" selected="0">
            <x v="3"/>
          </reference>
        </references>
      </pivotArea>
    </chartFormat>
    <chartFormat chart="28"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15" count="1" selected="0">
            <x v="0"/>
          </reference>
        </references>
      </pivotArea>
    </chartFormat>
    <chartFormat chart="31" format="3">
      <pivotArea type="data" outline="0" fieldPosition="0">
        <references count="2">
          <reference field="4294967294" count="1" selected="0">
            <x v="0"/>
          </reference>
          <reference field="15" count="1" selected="0">
            <x v="1"/>
          </reference>
        </references>
      </pivotArea>
    </chartFormat>
    <chartFormat chart="31" format="4">
      <pivotArea type="data" outline="0" fieldPosition="0">
        <references count="2">
          <reference field="4294967294" count="1" selected="0">
            <x v="0"/>
          </reference>
          <reference field="15" count="1" selected="0">
            <x v="2"/>
          </reference>
        </references>
      </pivotArea>
    </chartFormat>
    <chartFormat chart="31" format="5">
      <pivotArea type="data" outline="0" fieldPosition="0">
        <references count="2">
          <reference field="4294967294" count="1" selected="0">
            <x v="0"/>
          </reference>
          <reference field="15" count="1" selected="0">
            <x v="3"/>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15" count="1" selected="0">
            <x v="0"/>
          </reference>
        </references>
      </pivotArea>
    </chartFormat>
    <chartFormat chart="32" format="8">
      <pivotArea type="data" outline="0" fieldPosition="0">
        <references count="2">
          <reference field="4294967294" count="1" selected="0">
            <x v="0"/>
          </reference>
          <reference field="15" count="1" selected="0">
            <x v="1"/>
          </reference>
        </references>
      </pivotArea>
    </chartFormat>
    <chartFormat chart="32" format="9">
      <pivotArea type="data" outline="0" fieldPosition="0">
        <references count="2">
          <reference field="4294967294" count="1" selected="0">
            <x v="0"/>
          </reference>
          <reference field="15" count="1" selected="0">
            <x v="2"/>
          </reference>
        </references>
      </pivotArea>
    </chartFormat>
    <chartFormat chart="32" format="10">
      <pivotArea type="data" outline="0" fieldPosition="0">
        <references count="2">
          <reference field="4294967294" count="1" selected="0">
            <x v="0"/>
          </reference>
          <reference field="15" count="1" selected="0">
            <x v="3"/>
          </reference>
        </references>
      </pivotArea>
    </chartFormat>
    <chartFormat chart="28" format="1">
      <pivotArea type="data" outline="0" fieldPosition="0">
        <references count="2">
          <reference field="4294967294" count="1" selected="0">
            <x v="0"/>
          </reference>
          <reference field="15" count="1" selected="0">
            <x v="0"/>
          </reference>
        </references>
      </pivotArea>
    </chartFormat>
    <chartFormat chart="28" format="2">
      <pivotArea type="data" outline="0" fieldPosition="0">
        <references count="2">
          <reference field="4294967294" count="1" selected="0">
            <x v="0"/>
          </reference>
          <reference field="15" count="1" selected="0">
            <x v="1"/>
          </reference>
        </references>
      </pivotArea>
    </chartFormat>
    <chartFormat chart="28"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86C0B8-9795-4C63-B7D5-C40AFE5FD28C}"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43:B49" firstHeaderRow="1" firstDataRow="1" firstDataCol="1"/>
  <pivotFields count="26">
    <pivotField showAll="0"/>
    <pivotField showAll="0"/>
    <pivotField showAll="0"/>
    <pivotField showAll="0"/>
    <pivotField showAll="0"/>
    <pivotField showAll="0"/>
    <pivotField dataField="1" showAll="0"/>
    <pivotField showAll="0"/>
    <pivotField showAll="0">
      <items count="21">
        <item x="7"/>
        <item x="0"/>
        <item x="15"/>
        <item x="11"/>
        <item x="13"/>
        <item x="4"/>
        <item x="3"/>
        <item x="2"/>
        <item x="5"/>
        <item x="14"/>
        <item x="8"/>
        <item x="16"/>
        <item x="9"/>
        <item x="6"/>
        <item x="10"/>
        <item x="1"/>
        <item x="18"/>
        <item x="17"/>
        <item x="12"/>
        <item x="19"/>
        <item t="default"/>
      </items>
    </pivotField>
    <pivotField axis="axisRow" showAll="0">
      <items count="6">
        <item x="1"/>
        <item x="0"/>
        <item x="4"/>
        <item x="3"/>
        <item x="2"/>
        <item t="default"/>
      </items>
    </pivotField>
    <pivotField showAll="0"/>
    <pivotField showAll="0"/>
    <pivotField showAll="0"/>
    <pivotField showAll="0"/>
    <pivotField numFmtId="22" showAll="0">
      <items count="103">
        <item x="85"/>
        <item x="94"/>
        <item x="86"/>
        <item x="44"/>
        <item x="73"/>
        <item x="42"/>
        <item x="30"/>
        <item x="34"/>
        <item x="12"/>
        <item x="5"/>
        <item x="10"/>
        <item x="74"/>
        <item x="38"/>
        <item x="89"/>
        <item x="83"/>
        <item x="7"/>
        <item x="59"/>
        <item x="52"/>
        <item x="90"/>
        <item x="21"/>
        <item x="41"/>
        <item x="14"/>
        <item x="70"/>
        <item x="37"/>
        <item x="13"/>
        <item x="62"/>
        <item x="99"/>
        <item x="51"/>
        <item x="35"/>
        <item x="26"/>
        <item x="15"/>
        <item x="88"/>
        <item x="27"/>
        <item x="72"/>
        <item x="49"/>
        <item x="36"/>
        <item x="53"/>
        <item x="79"/>
        <item x="40"/>
        <item x="67"/>
        <item x="9"/>
        <item x="60"/>
        <item x="22"/>
        <item x="56"/>
        <item x="65"/>
        <item x="101"/>
        <item x="78"/>
        <item x="50"/>
        <item x="24"/>
        <item x="47"/>
        <item x="0"/>
        <item x="91"/>
        <item x="77"/>
        <item x="1"/>
        <item x="6"/>
        <item x="18"/>
        <item x="69"/>
        <item x="45"/>
        <item x="29"/>
        <item x="33"/>
        <item x="68"/>
        <item x="16"/>
        <item x="76"/>
        <item x="20"/>
        <item x="100"/>
        <item x="58"/>
        <item x="66"/>
        <item x="93"/>
        <item x="23"/>
        <item x="64"/>
        <item x="46"/>
        <item x="17"/>
        <item x="4"/>
        <item x="8"/>
        <item x="25"/>
        <item x="11"/>
        <item x="48"/>
        <item x="80"/>
        <item x="19"/>
        <item x="39"/>
        <item x="97"/>
        <item x="55"/>
        <item x="61"/>
        <item x="92"/>
        <item x="3"/>
        <item x="96"/>
        <item x="71"/>
        <item x="57"/>
        <item x="54"/>
        <item x="28"/>
        <item x="2"/>
        <item x="98"/>
        <item x="82"/>
        <item x="87"/>
        <item x="31"/>
        <item x="75"/>
        <item x="63"/>
        <item x="81"/>
        <item x="32"/>
        <item x="84"/>
        <item x="43"/>
        <item x="95"/>
        <item t="default"/>
      </items>
    </pivotField>
    <pivotField showAll="0">
      <items count="5">
        <item x="3"/>
        <item x="0"/>
        <item x="2"/>
        <item x="1"/>
        <item t="default"/>
      </items>
    </pivotField>
    <pivotField showAll="0"/>
    <pivotField showAll="0"/>
    <pivotField showAll="0"/>
    <pivotField showAll="0"/>
    <pivotField showAll="0"/>
    <pivotField showAll="0">
      <items count="11">
        <item x="8"/>
        <item x="1"/>
        <item x="6"/>
        <item x="9"/>
        <item x="3"/>
        <item x="5"/>
        <item x="7"/>
        <item x="4"/>
        <item x="2"/>
        <item x="0"/>
        <item t="default"/>
      </items>
    </pivotField>
    <pivotField showAll="0"/>
    <pivotField numFmtId="1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Items count="1">
    <i/>
  </colItems>
  <dataFields count="1">
    <dataField name="Sum of line_total" fld="6" baseField="0" baseItem="0"/>
  </dataFields>
  <chartFormats count="6">
    <chartFormat chart="7"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dateBetween" evalOrder="-1" id="48" name="orders.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category" xr10:uid="{822451EE-95D1-4783-B462-94EC96FC1DAB}" sourceName="products.category">
  <pivotTables>
    <pivotTable tabId="20" name="PivotTable1"/>
    <pivotTable tabId="20" name="PivotTable2"/>
    <pivotTable tabId="20" name="PivotTable3"/>
    <pivotTable tabId="20" name="PivotTable4"/>
    <pivotTable tabId="20" name="PivotTable5"/>
    <pivotTable tabId="20" name="PivotTable6"/>
    <pivotTable tabId="20" name="PivotTable10"/>
    <pivotTable tabId="20" name="PivotTable11"/>
    <pivotTable tabId="20" name="PivotTable12"/>
    <pivotTable tabId="20" name="PivotTable13"/>
    <pivotTable tabId="20" name="PivotTable14"/>
  </pivotTables>
  <data>
    <tabular pivotCacheId="1760822863">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city" xr10:uid="{3432333F-675F-49C5-8F39-A84AC2554732}" sourceName="customers.city">
  <pivotTables>
    <pivotTable tabId="20" name="PivotTable1"/>
    <pivotTable tabId="20" name="PivotTable2"/>
    <pivotTable tabId="20" name="PivotTable3"/>
    <pivotTable tabId="20" name="PivotTable4"/>
    <pivotTable tabId="20" name="PivotTable5"/>
    <pivotTable tabId="20" name="PivotTable6"/>
    <pivotTable tabId="20" name="PivotTable10"/>
    <pivotTable tabId="20" name="PivotTable11"/>
    <pivotTable tabId="20" name="PivotTable12"/>
    <pivotTable tabId="20" name="PivotTable13"/>
    <pivotTable tabId="20" name="PivotTable14"/>
  </pivotTables>
  <data>
    <tabular pivotCacheId="1760822863">
      <items count="10">
        <i x="8" s="1"/>
        <i x="1" s="1"/>
        <i x="6" s="1"/>
        <i x="9" s="1"/>
        <i x="3" s="1"/>
        <i x="5" s="1"/>
        <i x="7"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order_status" xr10:uid="{572532BA-1268-413F-A96E-6FDD3F409652}" sourceName="orders.order_status">
  <pivotTables>
    <pivotTable tabId="20" name="PivotTable2"/>
    <pivotTable tabId="20" name="PivotTable3"/>
    <pivotTable tabId="20" name="PivotTable4"/>
    <pivotTable tabId="20" name="PivotTable5"/>
    <pivotTable tabId="20" name="PivotTable6"/>
    <pivotTable tabId="20" name="PivotTable11"/>
    <pivotTable tabId="20" name="PivotTable13"/>
    <pivotTable tabId="20" name="PivotTable14"/>
  </pivotTables>
  <data>
    <tabular pivotCacheId="1760822863">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category 1" xr10:uid="{E95B14D5-5C51-435B-9547-0588006CB6E8}" cache="Slicer_products.category" caption="CATEGORY" columnCount="5" rowHeight="234950"/>
  <slicer name="customers.city 1" xr10:uid="{D6DECDD3-1C14-44B1-8290-C0E6CB4E3CC0}" cache="Slicer_customers.city" caption="CITY" columnCount="5" rowHeight="234950"/>
  <slicer name="orders.order_status 1" xr10:uid="{ED6EBD47-DD67-4D98-93CC-28622DAABF26}" cache="Slicer_orders.order_status" caption="ORDER STATUS"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category" xr10:uid="{150697BC-8F82-44CE-81C9-FD05CA3E881E}" cache="Slicer_products.category" caption="CATEGORY" columnCount="5" rowHeight="234950"/>
  <slicer name="customers.city" xr10:uid="{0C395AF4-8C5B-4216-AD22-6E4EEBE586C9}" cache="Slicer_customers.city" caption="CITY" columnCount="5" rowHeight="234950"/>
  <slicer name="orders.order_status" xr10:uid="{52796D98-5DBE-42D0-B791-2000DB4B9DC2}" cache="Slicer_orders.order_status" caption="ORDER STATUS"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140E65-EFA5-48F4-A632-D3BAB68B90C4}" name="Table1" displayName="Table1" ref="A1:E21" totalsRowShown="0">
  <autoFilter ref="A1:E21" xr:uid="{67140E65-EFA5-48F4-A632-D3BAB68B90C4}"/>
  <tableColumns count="5">
    <tableColumn id="1" xr3:uid="{74F4441B-F409-434E-8EF1-417FE4C6512F}" name="product_id"/>
    <tableColumn id="2" xr3:uid="{A696BDF7-B596-4FD9-B445-41936E99281F}" name="product_name"/>
    <tableColumn id="3" xr3:uid="{07CA69E2-8E95-4CEC-A76C-99B293572445}" name="category"/>
    <tableColumn id="4" xr3:uid="{40F1EDE6-8865-4C9D-A465-EB4C119398A8}" name="list_price"/>
    <tableColumn id="5" xr3:uid="{96A5991F-7F0A-4E6D-9016-9F2D021CD6BC}" name="unit_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638233-5A42-48E1-9786-359C29E2CA99}" name="Table3" displayName="Table3" ref="A1:G301" totalsRowShown="0">
  <autoFilter ref="A1:G301" xr:uid="{1A638233-5A42-48E1-9786-359C29E2CA99}"/>
  <tableColumns count="7">
    <tableColumn id="1" xr3:uid="{B5F9C01B-010D-4B13-9674-1B5372F70A8C}" name="order_item_id"/>
    <tableColumn id="2" xr3:uid="{7756EEB6-B315-4B52-AF69-2C5B91530B23}" name="order_id"/>
    <tableColumn id="3" xr3:uid="{2438D9D7-7306-46D5-85AD-97224C0E1700}" name="product_id"/>
    <tableColumn id="4" xr3:uid="{91D945A1-8016-4894-990D-E35E45545551}" name="quantity"/>
    <tableColumn id="5" xr3:uid="{27267B6E-CBBD-44F8-842E-9DAB1117A646}" name="unit_price"/>
    <tableColumn id="6" xr3:uid="{0A70256D-3993-4036-94DB-D258B60D8EDD}" name="discount_pct"/>
    <tableColumn id="7" xr3:uid="{6F9D3C57-2F2B-4FDC-913D-CEC2459AD5ED}" name="line_tot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4C3FE0C-F157-4533-BE3F-E35357A2695F}" name="Table9" displayName="Table9" ref="A1:F121" totalsRowShown="0" headerRowDxfId="51" dataDxfId="50" tableBorderDxfId="49">
  <autoFilter ref="A1:F121" xr:uid="{74C3FE0C-F157-4533-BE3F-E35357A2695F}"/>
  <tableColumns count="6">
    <tableColumn id="1" xr3:uid="{B04E8AE8-ED3A-4D59-8706-89C5BE5E11EC}" name="order_id" dataDxfId="48"/>
    <tableColumn id="2" xr3:uid="{6313C454-E95F-4303-81C5-03851C77E789}" name="customer_id" dataDxfId="47"/>
    <tableColumn id="3" xr3:uid="{6D434E2B-D2D7-4C84-B66A-5B7201B091A6}" name="order_date" dataDxfId="46"/>
    <tableColumn id="4" xr3:uid="{97718F2D-F90D-4110-AFD4-81C38FF6E971}" name="order_status" dataDxfId="45"/>
    <tableColumn id="5" xr3:uid="{E78053E5-4280-4D86-8AFE-FC773DC097E9}" name="payment_method" dataDxfId="44"/>
    <tableColumn id="6" xr3:uid="{B1D7169E-6507-4C68-90DF-971967D2F191}" name="shipping_days" dataDxfId="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5488C1-4D25-43AA-AF44-11DAD0DD5ECB}" name="total_dataset" displayName="total_dataset" ref="A1:X301" totalsRowShown="0" headerRowDxfId="0" dataDxfId="1" headerRowBorderDxfId="26" tableBorderDxfId="27">
  <autoFilter ref="A1:X301" xr:uid="{6C5488C1-4D25-43AA-AF44-11DAD0DD5ECB}"/>
  <tableColumns count="24">
    <tableColumn id="1" xr3:uid="{1F9B8598-4394-4AFE-AAC9-0C1CEE9C513D}" name="order_item_id" dataDxfId="25"/>
    <tableColumn id="2" xr3:uid="{7EF3689F-03BE-49DF-A9E5-6479D16F0290}" name="order_id" dataDxfId="24"/>
    <tableColumn id="3" xr3:uid="{64181E42-8015-428C-9D35-394CCE82F48F}" name="product_id" dataDxfId="23"/>
    <tableColumn id="4" xr3:uid="{7BED6786-0C22-427D-93F0-330DF6EFC839}" name="quantity" dataDxfId="22"/>
    <tableColumn id="5" xr3:uid="{7AA3F114-242C-40CE-962E-7EB7329F1BCB}" name="unit_price" dataDxfId="21"/>
    <tableColumn id="6" xr3:uid="{13C4BFEF-E055-4298-B29E-9435A7C53324}" name="discount_pct" dataDxfId="20"/>
    <tableColumn id="7" xr3:uid="{EE024275-9A48-4EB0-AFAA-C560BB87E037}" name="line_total" dataDxfId="19"/>
    <tableColumn id="8" xr3:uid="{49CE6B06-1587-496E-92AF-6FB6BE68D932}" name="products.product_id" dataDxfId="18"/>
    <tableColumn id="9" xr3:uid="{C3E16670-143F-4B54-9845-E36C75BBC39E}" name="products.product_name" dataDxfId="17"/>
    <tableColumn id="10" xr3:uid="{E44235ED-AF59-49EF-A063-0296DF5899FD}" name="products.category" dataDxfId="16"/>
    <tableColumn id="11" xr3:uid="{F4A75EF5-59FA-443D-9F5A-B307967CE3F2}" name="products.list_price" dataDxfId="15"/>
    <tableColumn id="12" xr3:uid="{D31F0676-9DF6-4480-A412-4FF891988B01}" name="products.unit_cost" dataDxfId="14"/>
    <tableColumn id="13" xr3:uid="{D60C3744-1324-4FE6-BEDE-F5BD6CF4AECB}" name="orders.order_id" dataDxfId="13"/>
    <tableColumn id="14" xr3:uid="{EE59534C-D68C-498C-9A71-DBCB3E70732B}" name="orders.customer_id" dataDxfId="12"/>
    <tableColumn id="15" xr3:uid="{02938DCC-314A-472F-B969-AFF6FDE130BA}" name="orders.order_date" dataDxfId="11"/>
    <tableColumn id="16" xr3:uid="{ABD54321-E131-45A0-8DE0-AE14BFC77917}" name="orders.order_status" dataDxfId="10"/>
    <tableColumn id="17" xr3:uid="{ED434C29-F257-401C-949D-C4F7185C3904}" name="orders.payment_method" dataDxfId="9"/>
    <tableColumn id="18" xr3:uid="{EB3F0E3B-BD8F-4240-BFBF-2FBF9D791B08}" name="orders.shipping_days" dataDxfId="8"/>
    <tableColumn id="19" xr3:uid="{6A061B8F-F7FF-4D19-AC54-FC7DFC039057}" name="customers.customer_id" dataDxfId="7"/>
    <tableColumn id="20" xr3:uid="{557B83C0-94E5-4C5F-B85E-BA41692756BA}" name="customers.first_name" dataDxfId="6"/>
    <tableColumn id="21" xr3:uid="{1B496F73-E100-4734-87D7-B0F23FCBF1CA}" name="customers.last_name" dataDxfId="5"/>
    <tableColumn id="22" xr3:uid="{7D566C5C-0BB8-4F44-A327-194CD32B4F26}" name="customers.city" dataDxfId="4"/>
    <tableColumn id="23" xr3:uid="{BF8297B4-45AE-43BA-B90C-93298C3121F4}" name="customers.customer_segment" dataDxfId="3"/>
    <tableColumn id="24" xr3:uid="{980BDDED-E4E3-4214-8F4B-CA9D971200C3}" name="customers.signup_date"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C6792CC-2BE3-464F-A2C8-AAB72F1E15ED}" name="total__dataset" displayName="total__dataset" ref="A1:X301" totalsRowShown="0">
  <autoFilter ref="A1:X301" xr:uid="{9C6792CC-2BE3-464F-A2C8-AAB72F1E15ED}"/>
  <tableColumns count="24">
    <tableColumn id="1" xr3:uid="{5158A902-CA7D-4600-946F-26109FEDDFD9}" name="order_id"/>
    <tableColumn id="2" xr3:uid="{F1816E98-BC94-4B2E-A4C6-9F54D2E0DCE3}" name="customer_id"/>
    <tableColumn id="3" xr3:uid="{91E21920-9A7E-47D0-8071-7E8589B87744}" name="order_date" dataDxfId="42"/>
    <tableColumn id="4" xr3:uid="{A9FC2D8D-8D59-4EAF-8CF2-39AF7BE62021}" name="order_status" dataDxfId="41"/>
    <tableColumn id="5" xr3:uid="{DEFD1E07-2046-4382-8928-965A178F7B46}" name="payment_method" dataDxfId="40"/>
    <tableColumn id="6" xr3:uid="{D09EEC7A-4BAC-45C2-B4BD-22857B1F4F23}" name="shipping_days"/>
    <tableColumn id="7" xr3:uid="{F9202A6A-C68F-449B-8882-C9C0A517E282}" name="customer.customer_id"/>
    <tableColumn id="8" xr3:uid="{54A51AFD-D0A2-457B-9B4D-DDFB4667C70B}" name="customer.first_name" dataDxfId="39"/>
    <tableColumn id="9" xr3:uid="{EF1A6FB7-8C94-43BB-ACB0-233417E7C771}" name="customer.last_name" dataDxfId="38"/>
    <tableColumn id="10" xr3:uid="{BD47B81A-8C2E-4572-8D94-BBD8317E5793}" name="customer.city" dataDxfId="37"/>
    <tableColumn id="11" xr3:uid="{101B147B-3563-42BB-BD5A-BCFB46EF6E8C}" name="customer.customer_segment" dataDxfId="36"/>
    <tableColumn id="12" xr3:uid="{A31F4F73-045C-4ECB-A91E-365B10EBB167}" name="customer.signup_date" dataDxfId="35"/>
    <tableColumn id="13" xr3:uid="{ED8A9704-A669-438B-B6D0-58DB5284663B}" name="orders_items.order_item_id"/>
    <tableColumn id="14" xr3:uid="{18787D65-79E0-4014-AFD4-E844CB4D0D89}" name="orders_items.order_id"/>
    <tableColumn id="15" xr3:uid="{4881CC09-3DC3-4587-A5FF-79A6C63CA4B6}" name="orders_items.product_id"/>
    <tableColumn id="16" xr3:uid="{9AAC776D-881C-41B9-A324-FE4AC996C1E5}" name="orders_items.quantity"/>
    <tableColumn id="17" xr3:uid="{AF9818DC-D361-484D-BDB7-FF28CD13C225}" name="orders_items.unit_price"/>
    <tableColumn id="18" xr3:uid="{089013B6-2533-48BA-9BAB-364B5405F8E8}" name="orders_items.discount_pct"/>
    <tableColumn id="19" xr3:uid="{56A1BD47-9963-4E0F-BB69-521F386BDA1C}" name="orders_items.line_total"/>
    <tableColumn id="20" xr3:uid="{B0F345FA-09E9-4311-BFDC-83D6BA08D5B9}" name="products.product_id"/>
    <tableColumn id="21" xr3:uid="{62684DFD-FD30-4C49-A21D-13BA7802FBA0}" name="products.product_name" dataDxfId="34"/>
    <tableColumn id="22" xr3:uid="{E73D5026-0D22-47BA-A85F-22DFCAEABF49}" name="products.category" dataDxfId="33"/>
    <tableColumn id="23" xr3:uid="{C9E6560F-2D4E-42B7-A65F-7DE2AA847D87}" name="products.list_price"/>
    <tableColumn id="24" xr3:uid="{20E9B8D5-BF62-48B5-B923-67244E5484A0}" name="products.unit_cos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BB3F075-B0AD-4A86-B5CC-10F2A02FFB4E}" name="customer" displayName="customer" ref="A1:F41" totalsRowShown="0">
  <autoFilter ref="A1:F41" xr:uid="{3BB3F075-B0AD-4A86-B5CC-10F2A02FFB4E}"/>
  <tableColumns count="6">
    <tableColumn id="1" xr3:uid="{0DDED26E-EDB0-49B2-B4A5-ED6545307F88}" name="customer_id"/>
    <tableColumn id="2" xr3:uid="{C3BD4642-7333-4DA0-B949-5498F7F5D324}" name="first_name" dataDxfId="32"/>
    <tableColumn id="3" xr3:uid="{8AE740E0-16BA-4C38-A01C-376FC7A29C38}" name="last_name" dataDxfId="31"/>
    <tableColumn id="4" xr3:uid="{237D8953-590D-4128-9378-15B2196ECB32}" name="city" dataDxfId="30"/>
    <tableColumn id="5" xr3:uid="{6A9D1056-6A06-4D18-92DE-4D1D95FFA600}" name="customer_segment" dataDxfId="29"/>
    <tableColumn id="6" xr3:uid="{EBCA9A4C-9181-470E-BE68-75C79A581502}" name="signup_date"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s.order_date" xr10:uid="{56AB95F0-623C-4C88-92CF-1AED594E8AB2}" sourceName="orders.order_date">
  <pivotTables>
    <pivotTable tabId="20" name="PivotTable1"/>
    <pivotTable tabId="20" name="PivotTable2"/>
    <pivotTable tabId="20" name="PivotTable3"/>
    <pivotTable tabId="20" name="PivotTable4"/>
    <pivotTable tabId="20" name="PivotTable5"/>
    <pivotTable tabId="20" name="PivotTable6"/>
    <pivotTable tabId="20" name="PivotTable10"/>
    <pivotTable tabId="20" name="PivotTable11"/>
    <pivotTable tabId="20" name="PivotTable12"/>
    <pivotTable tabId="20" name="PivotTable13"/>
    <pivotTable tabId="20" name="PivotTable14"/>
  </pivotTables>
  <state minimalRefreshVersion="6" lastRefreshVersion="6" pivotCacheId="1760822863"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s.order_date 1" xr10:uid="{085BB6B0-CDEF-4F0B-96D0-0C946EE133D8}" cache="NativeTimeline_orders.order_date" caption="DATE" showSelectionLabel="0" showTimeLevel="0" showHorizontalScrollbar="0" level="2"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s.order_date" xr10:uid="{E8BABD56-CE3C-4CA8-BCEC-1E5B2095240F}" cache="NativeTimeline_orders.order_date" caption="DATE" showSelectionLabel="0" showTimeLevel="0" showHorizontalScrollbar="0" level="2" selectionLevel="0" scrollPosition="2025-01-12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C8DF-10A6-449D-B62A-C3049794A1D5}">
  <dimension ref="A1:E21"/>
  <sheetViews>
    <sheetView workbookViewId="0">
      <selection sqref="A1:E21"/>
    </sheetView>
  </sheetViews>
  <sheetFormatPr defaultRowHeight="14.4" x14ac:dyDescent="0.3"/>
  <cols>
    <col min="1" max="1" width="12.109375" customWidth="1"/>
    <col min="2" max="2" width="18.6640625" bestFit="1" customWidth="1"/>
    <col min="3" max="3" width="13.21875" bestFit="1" customWidth="1"/>
    <col min="4" max="4" width="10.33203125" customWidth="1"/>
    <col min="5" max="5" width="10.6640625" customWidth="1"/>
  </cols>
  <sheetData>
    <row r="1" spans="1:5" x14ac:dyDescent="0.3">
      <c r="A1" t="s">
        <v>0</v>
      </c>
      <c r="B1" t="s">
        <v>1</v>
      </c>
      <c r="C1" t="s">
        <v>2</v>
      </c>
      <c r="D1" t="s">
        <v>3</v>
      </c>
      <c r="E1" t="s">
        <v>4</v>
      </c>
    </row>
    <row r="2" spans="1:5" x14ac:dyDescent="0.3">
      <c r="A2">
        <v>1</v>
      </c>
      <c r="B2" t="s">
        <v>5</v>
      </c>
      <c r="C2" t="s">
        <v>6</v>
      </c>
      <c r="D2">
        <v>799</v>
      </c>
      <c r="E2">
        <v>420</v>
      </c>
    </row>
    <row r="3" spans="1:5" x14ac:dyDescent="0.3">
      <c r="A3">
        <v>2</v>
      </c>
      <c r="B3" t="s">
        <v>7</v>
      </c>
      <c r="C3" t="s">
        <v>6</v>
      </c>
      <c r="D3">
        <v>2499</v>
      </c>
      <c r="E3">
        <v>1500</v>
      </c>
    </row>
    <row r="4" spans="1:5" x14ac:dyDescent="0.3">
      <c r="A4">
        <v>3</v>
      </c>
      <c r="B4" t="s">
        <v>8</v>
      </c>
      <c r="C4" t="s">
        <v>6</v>
      </c>
      <c r="D4">
        <v>1799</v>
      </c>
      <c r="E4">
        <v>980</v>
      </c>
    </row>
    <row r="5" spans="1:5" x14ac:dyDescent="0.3">
      <c r="A5">
        <v>4</v>
      </c>
      <c r="B5" t="s">
        <v>9</v>
      </c>
      <c r="C5" t="s">
        <v>6</v>
      </c>
      <c r="D5">
        <v>2199</v>
      </c>
      <c r="E5">
        <v>1250</v>
      </c>
    </row>
    <row r="6" spans="1:5" x14ac:dyDescent="0.3">
      <c r="A6">
        <v>5</v>
      </c>
      <c r="B6" t="s">
        <v>10</v>
      </c>
      <c r="C6" t="s">
        <v>11</v>
      </c>
      <c r="D6">
        <v>1299</v>
      </c>
      <c r="E6">
        <v>650</v>
      </c>
    </row>
    <row r="7" spans="1:5" x14ac:dyDescent="0.3">
      <c r="A7">
        <v>6</v>
      </c>
      <c r="B7" t="s">
        <v>12</v>
      </c>
      <c r="C7" t="s">
        <v>11</v>
      </c>
      <c r="D7">
        <v>1899</v>
      </c>
      <c r="E7">
        <v>950</v>
      </c>
    </row>
    <row r="8" spans="1:5" x14ac:dyDescent="0.3">
      <c r="A8">
        <v>7</v>
      </c>
      <c r="B8" t="s">
        <v>13</v>
      </c>
      <c r="C8" t="s">
        <v>14</v>
      </c>
      <c r="D8">
        <v>999</v>
      </c>
      <c r="E8">
        <v>480</v>
      </c>
    </row>
    <row r="9" spans="1:5" x14ac:dyDescent="0.3">
      <c r="A9">
        <v>8</v>
      </c>
      <c r="B9" t="s">
        <v>15</v>
      </c>
      <c r="C9" t="s">
        <v>16</v>
      </c>
      <c r="D9">
        <v>299</v>
      </c>
      <c r="E9">
        <v>110</v>
      </c>
    </row>
    <row r="10" spans="1:5" x14ac:dyDescent="0.3">
      <c r="A10">
        <v>9</v>
      </c>
      <c r="B10" t="s">
        <v>17</v>
      </c>
      <c r="C10" t="s">
        <v>16</v>
      </c>
      <c r="D10">
        <v>199</v>
      </c>
      <c r="E10">
        <v>65</v>
      </c>
    </row>
    <row r="11" spans="1:5" x14ac:dyDescent="0.3">
      <c r="A11">
        <v>10</v>
      </c>
      <c r="B11" t="s">
        <v>18</v>
      </c>
      <c r="C11" t="s">
        <v>19</v>
      </c>
      <c r="D11">
        <v>599</v>
      </c>
      <c r="E11">
        <v>260</v>
      </c>
    </row>
    <row r="12" spans="1:5" x14ac:dyDescent="0.3">
      <c r="A12">
        <v>11</v>
      </c>
      <c r="B12" t="s">
        <v>20</v>
      </c>
      <c r="C12" t="s">
        <v>19</v>
      </c>
      <c r="D12">
        <v>1099</v>
      </c>
      <c r="E12">
        <v>570</v>
      </c>
    </row>
    <row r="13" spans="1:5" x14ac:dyDescent="0.3">
      <c r="A13">
        <v>12</v>
      </c>
      <c r="B13" t="s">
        <v>21</v>
      </c>
      <c r="C13" t="s">
        <v>14</v>
      </c>
      <c r="D13">
        <v>399</v>
      </c>
      <c r="E13">
        <v>140</v>
      </c>
    </row>
    <row r="14" spans="1:5" x14ac:dyDescent="0.3">
      <c r="A14">
        <v>13</v>
      </c>
      <c r="B14" t="s">
        <v>22</v>
      </c>
      <c r="C14" t="s">
        <v>6</v>
      </c>
      <c r="D14">
        <v>10999</v>
      </c>
      <c r="E14">
        <v>7900</v>
      </c>
    </row>
    <row r="15" spans="1:5" x14ac:dyDescent="0.3">
      <c r="A15">
        <v>14</v>
      </c>
      <c r="B15" t="s">
        <v>23</v>
      </c>
      <c r="C15" t="s">
        <v>6</v>
      </c>
      <c r="D15">
        <v>2499</v>
      </c>
      <c r="E15">
        <v>1500</v>
      </c>
    </row>
    <row r="16" spans="1:5" x14ac:dyDescent="0.3">
      <c r="A16">
        <v>15</v>
      </c>
      <c r="B16" t="s">
        <v>24</v>
      </c>
      <c r="C16" t="s">
        <v>11</v>
      </c>
      <c r="D16">
        <v>349</v>
      </c>
      <c r="E16">
        <v>120</v>
      </c>
    </row>
    <row r="17" spans="1:5" x14ac:dyDescent="0.3">
      <c r="A17">
        <v>16</v>
      </c>
      <c r="B17" t="s">
        <v>25</v>
      </c>
      <c r="C17" t="s">
        <v>6</v>
      </c>
      <c r="D17">
        <v>1599</v>
      </c>
      <c r="E17">
        <v>900</v>
      </c>
    </row>
    <row r="18" spans="1:5" x14ac:dyDescent="0.3">
      <c r="A18">
        <v>17</v>
      </c>
      <c r="B18" t="s">
        <v>26</v>
      </c>
      <c r="C18" t="s">
        <v>14</v>
      </c>
      <c r="D18">
        <v>8499</v>
      </c>
      <c r="E18">
        <v>6100</v>
      </c>
    </row>
    <row r="19" spans="1:5" x14ac:dyDescent="0.3">
      <c r="A19">
        <v>18</v>
      </c>
      <c r="B19" t="s">
        <v>27</v>
      </c>
      <c r="C19" t="s">
        <v>19</v>
      </c>
      <c r="D19">
        <v>3299</v>
      </c>
      <c r="E19">
        <v>2050</v>
      </c>
    </row>
    <row r="20" spans="1:5" x14ac:dyDescent="0.3">
      <c r="A20">
        <v>19</v>
      </c>
      <c r="B20" t="s">
        <v>28</v>
      </c>
      <c r="C20" t="s">
        <v>11</v>
      </c>
      <c r="D20">
        <v>499</v>
      </c>
      <c r="E20">
        <v>220</v>
      </c>
    </row>
    <row r="21" spans="1:5" x14ac:dyDescent="0.3">
      <c r="A21">
        <v>20</v>
      </c>
      <c r="B21" t="s">
        <v>29</v>
      </c>
      <c r="C21" t="s">
        <v>16</v>
      </c>
      <c r="D21">
        <v>449</v>
      </c>
      <c r="E21">
        <v>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A5313-7CC9-497D-8E7D-93F7A8005191}">
  <dimension ref="A1:G301"/>
  <sheetViews>
    <sheetView workbookViewId="0">
      <selection activeCell="B21" sqref="A2:G301"/>
    </sheetView>
  </sheetViews>
  <sheetFormatPr defaultRowHeight="14.4" x14ac:dyDescent="0.3"/>
  <cols>
    <col min="1" max="1" width="14.77734375" customWidth="1"/>
    <col min="2" max="2" width="10" customWidth="1"/>
    <col min="3" max="3" width="12.109375" customWidth="1"/>
    <col min="4" max="4" width="10" customWidth="1"/>
    <col min="5" max="5" width="11.33203125" customWidth="1"/>
    <col min="6" max="6" width="13.77734375" customWidth="1"/>
    <col min="7" max="7" width="10.77734375" customWidth="1"/>
  </cols>
  <sheetData>
    <row r="1" spans="1:7" x14ac:dyDescent="0.3">
      <c r="A1" t="s">
        <v>30</v>
      </c>
      <c r="B1" t="s">
        <v>31</v>
      </c>
      <c r="C1" t="s">
        <v>0</v>
      </c>
      <c r="D1" t="s">
        <v>32</v>
      </c>
      <c r="E1" t="s">
        <v>33</v>
      </c>
      <c r="F1" t="s">
        <v>34</v>
      </c>
      <c r="G1" t="s">
        <v>35</v>
      </c>
    </row>
    <row r="2" spans="1:7" x14ac:dyDescent="0.3">
      <c r="A2">
        <v>1</v>
      </c>
      <c r="B2">
        <v>1001</v>
      </c>
      <c r="C2">
        <v>4</v>
      </c>
      <c r="D2">
        <v>1</v>
      </c>
      <c r="E2">
        <v>2199</v>
      </c>
      <c r="F2">
        <v>0.05</v>
      </c>
      <c r="G2">
        <v>2089.0500000000002</v>
      </c>
    </row>
    <row r="3" spans="1:7" x14ac:dyDescent="0.3">
      <c r="A3">
        <v>2</v>
      </c>
      <c r="B3">
        <v>1001</v>
      </c>
      <c r="C3">
        <v>3</v>
      </c>
      <c r="D3">
        <v>1</v>
      </c>
      <c r="E3">
        <v>1799</v>
      </c>
      <c r="F3">
        <v>0</v>
      </c>
      <c r="G3">
        <v>1799</v>
      </c>
    </row>
    <row r="4" spans="1:7" x14ac:dyDescent="0.3">
      <c r="A4">
        <v>3</v>
      </c>
      <c r="B4">
        <v>1001</v>
      </c>
      <c r="C4">
        <v>13</v>
      </c>
      <c r="D4">
        <v>2</v>
      </c>
      <c r="E4">
        <v>10999</v>
      </c>
      <c r="F4">
        <v>0.15</v>
      </c>
      <c r="G4">
        <v>18698.3</v>
      </c>
    </row>
    <row r="5" spans="1:7" x14ac:dyDescent="0.3">
      <c r="A5">
        <v>4</v>
      </c>
      <c r="B5">
        <v>1002</v>
      </c>
      <c r="C5">
        <v>19</v>
      </c>
      <c r="D5">
        <v>1</v>
      </c>
      <c r="E5">
        <v>499</v>
      </c>
      <c r="F5">
        <v>0</v>
      </c>
      <c r="G5">
        <v>499</v>
      </c>
    </row>
    <row r="6" spans="1:7" x14ac:dyDescent="0.3">
      <c r="A6">
        <v>5</v>
      </c>
      <c r="B6">
        <v>1002</v>
      </c>
      <c r="C6">
        <v>7</v>
      </c>
      <c r="D6">
        <v>2</v>
      </c>
      <c r="E6">
        <v>999</v>
      </c>
      <c r="F6">
        <v>0</v>
      </c>
      <c r="G6">
        <v>1998</v>
      </c>
    </row>
    <row r="7" spans="1:7" x14ac:dyDescent="0.3">
      <c r="A7">
        <v>6</v>
      </c>
      <c r="B7">
        <v>1002</v>
      </c>
      <c r="C7">
        <v>3</v>
      </c>
      <c r="D7">
        <v>2</v>
      </c>
      <c r="E7">
        <v>1799</v>
      </c>
      <c r="F7">
        <v>0</v>
      </c>
      <c r="G7">
        <v>3598</v>
      </c>
    </row>
    <row r="8" spans="1:7" x14ac:dyDescent="0.3">
      <c r="A8">
        <v>7</v>
      </c>
      <c r="B8">
        <v>1003</v>
      </c>
      <c r="C8">
        <v>12</v>
      </c>
      <c r="D8">
        <v>1</v>
      </c>
      <c r="E8">
        <v>399</v>
      </c>
      <c r="F8">
        <v>0.05</v>
      </c>
      <c r="G8">
        <v>379.05</v>
      </c>
    </row>
    <row r="9" spans="1:7" x14ac:dyDescent="0.3">
      <c r="A9">
        <v>8</v>
      </c>
      <c r="B9">
        <v>1003</v>
      </c>
      <c r="C9">
        <v>20</v>
      </c>
      <c r="D9">
        <v>2</v>
      </c>
      <c r="E9">
        <v>449</v>
      </c>
      <c r="F9">
        <v>0.2</v>
      </c>
      <c r="G9">
        <v>718.4</v>
      </c>
    </row>
    <row r="10" spans="1:7" x14ac:dyDescent="0.3">
      <c r="A10">
        <v>9</v>
      </c>
      <c r="B10">
        <v>1004</v>
      </c>
      <c r="C10">
        <v>6</v>
      </c>
      <c r="D10">
        <v>1</v>
      </c>
      <c r="E10">
        <v>1899</v>
      </c>
      <c r="F10">
        <v>0.2</v>
      </c>
      <c r="G10">
        <v>1519.2</v>
      </c>
    </row>
    <row r="11" spans="1:7" x14ac:dyDescent="0.3">
      <c r="A11">
        <v>10</v>
      </c>
      <c r="B11">
        <v>1004</v>
      </c>
      <c r="C11">
        <v>15</v>
      </c>
      <c r="D11">
        <v>2</v>
      </c>
      <c r="E11">
        <v>349</v>
      </c>
      <c r="F11">
        <v>0</v>
      </c>
      <c r="G11">
        <v>698</v>
      </c>
    </row>
    <row r="12" spans="1:7" x14ac:dyDescent="0.3">
      <c r="A12">
        <v>11</v>
      </c>
      <c r="B12">
        <v>1005</v>
      </c>
      <c r="C12">
        <v>13</v>
      </c>
      <c r="D12">
        <v>1</v>
      </c>
      <c r="E12">
        <v>10999</v>
      </c>
      <c r="F12">
        <v>0.15</v>
      </c>
      <c r="G12">
        <v>9349.15</v>
      </c>
    </row>
    <row r="13" spans="1:7" x14ac:dyDescent="0.3">
      <c r="A13">
        <v>12</v>
      </c>
      <c r="B13">
        <v>1005</v>
      </c>
      <c r="C13">
        <v>9</v>
      </c>
      <c r="D13">
        <v>2</v>
      </c>
      <c r="E13">
        <v>199</v>
      </c>
      <c r="F13">
        <v>0.05</v>
      </c>
      <c r="G13">
        <v>378.1</v>
      </c>
    </row>
    <row r="14" spans="1:7" x14ac:dyDescent="0.3">
      <c r="A14">
        <v>13</v>
      </c>
      <c r="B14">
        <v>1005</v>
      </c>
      <c r="C14">
        <v>3</v>
      </c>
      <c r="D14">
        <v>1</v>
      </c>
      <c r="E14">
        <v>1799</v>
      </c>
      <c r="F14">
        <v>0.1</v>
      </c>
      <c r="G14">
        <v>1619.1</v>
      </c>
    </row>
    <row r="15" spans="1:7" x14ac:dyDescent="0.3">
      <c r="A15">
        <v>14</v>
      </c>
      <c r="B15">
        <v>1006</v>
      </c>
      <c r="C15">
        <v>8</v>
      </c>
      <c r="D15">
        <v>1</v>
      </c>
      <c r="E15">
        <v>299</v>
      </c>
      <c r="F15">
        <v>0.2</v>
      </c>
      <c r="G15">
        <v>239.2</v>
      </c>
    </row>
    <row r="16" spans="1:7" x14ac:dyDescent="0.3">
      <c r="A16">
        <v>15</v>
      </c>
      <c r="B16">
        <v>1006</v>
      </c>
      <c r="C16">
        <v>18</v>
      </c>
      <c r="D16">
        <v>1</v>
      </c>
      <c r="E16">
        <v>3299</v>
      </c>
      <c r="F16">
        <v>0.15</v>
      </c>
      <c r="G16">
        <v>2804.15</v>
      </c>
    </row>
    <row r="17" spans="1:7" x14ac:dyDescent="0.3">
      <c r="A17">
        <v>16</v>
      </c>
      <c r="B17">
        <v>1007</v>
      </c>
      <c r="C17">
        <v>3</v>
      </c>
      <c r="D17">
        <v>1</v>
      </c>
      <c r="E17">
        <v>1799</v>
      </c>
      <c r="F17">
        <v>0.2</v>
      </c>
      <c r="G17">
        <v>1439.2</v>
      </c>
    </row>
    <row r="18" spans="1:7" x14ac:dyDescent="0.3">
      <c r="A18">
        <v>17</v>
      </c>
      <c r="B18">
        <v>1007</v>
      </c>
      <c r="C18">
        <v>2</v>
      </c>
      <c r="D18">
        <v>1</v>
      </c>
      <c r="E18">
        <v>2499</v>
      </c>
      <c r="F18">
        <v>0</v>
      </c>
      <c r="G18">
        <v>2499</v>
      </c>
    </row>
    <row r="19" spans="1:7" x14ac:dyDescent="0.3">
      <c r="A19">
        <v>18</v>
      </c>
      <c r="B19">
        <v>1007</v>
      </c>
      <c r="C19">
        <v>4</v>
      </c>
      <c r="D19">
        <v>1</v>
      </c>
      <c r="E19">
        <v>2199</v>
      </c>
      <c r="F19">
        <v>0.15</v>
      </c>
      <c r="G19">
        <v>1869.15</v>
      </c>
    </row>
    <row r="20" spans="1:7" x14ac:dyDescent="0.3">
      <c r="A20">
        <v>19</v>
      </c>
      <c r="B20">
        <v>1007</v>
      </c>
      <c r="C20">
        <v>5</v>
      </c>
      <c r="D20">
        <v>3</v>
      </c>
      <c r="E20">
        <v>1299</v>
      </c>
      <c r="F20">
        <v>0.15</v>
      </c>
      <c r="G20">
        <v>3312.45</v>
      </c>
    </row>
    <row r="21" spans="1:7" x14ac:dyDescent="0.3">
      <c r="A21">
        <v>20</v>
      </c>
      <c r="B21">
        <v>1008</v>
      </c>
      <c r="C21">
        <v>18</v>
      </c>
      <c r="D21">
        <v>2</v>
      </c>
      <c r="E21">
        <v>3299</v>
      </c>
      <c r="F21">
        <v>0.2</v>
      </c>
      <c r="G21">
        <v>5278.4</v>
      </c>
    </row>
    <row r="22" spans="1:7" x14ac:dyDescent="0.3">
      <c r="A22">
        <v>21</v>
      </c>
      <c r="B22">
        <v>1009</v>
      </c>
      <c r="C22">
        <v>1</v>
      </c>
      <c r="D22">
        <v>1</v>
      </c>
      <c r="E22">
        <v>799</v>
      </c>
      <c r="F22">
        <v>0</v>
      </c>
      <c r="G22">
        <v>799</v>
      </c>
    </row>
    <row r="23" spans="1:7" x14ac:dyDescent="0.3">
      <c r="A23">
        <v>22</v>
      </c>
      <c r="B23">
        <v>1009</v>
      </c>
      <c r="C23">
        <v>9</v>
      </c>
      <c r="D23">
        <v>2</v>
      </c>
      <c r="E23">
        <v>199</v>
      </c>
      <c r="F23">
        <v>0.05</v>
      </c>
      <c r="G23">
        <v>378.1</v>
      </c>
    </row>
    <row r="24" spans="1:7" x14ac:dyDescent="0.3">
      <c r="A24">
        <v>23</v>
      </c>
      <c r="B24">
        <v>1009</v>
      </c>
      <c r="C24">
        <v>17</v>
      </c>
      <c r="D24">
        <v>2</v>
      </c>
      <c r="E24">
        <v>8499</v>
      </c>
      <c r="F24">
        <v>0.15</v>
      </c>
      <c r="G24">
        <v>14448.3</v>
      </c>
    </row>
    <row r="25" spans="1:7" x14ac:dyDescent="0.3">
      <c r="A25">
        <v>24</v>
      </c>
      <c r="B25">
        <v>1009</v>
      </c>
      <c r="C25">
        <v>6</v>
      </c>
      <c r="D25">
        <v>1</v>
      </c>
      <c r="E25">
        <v>1899</v>
      </c>
      <c r="F25">
        <v>0</v>
      </c>
      <c r="G25">
        <v>1899</v>
      </c>
    </row>
    <row r="26" spans="1:7" x14ac:dyDescent="0.3">
      <c r="A26">
        <v>25</v>
      </c>
      <c r="B26">
        <v>1010</v>
      </c>
      <c r="C26">
        <v>20</v>
      </c>
      <c r="D26">
        <v>1</v>
      </c>
      <c r="E26">
        <v>449</v>
      </c>
      <c r="F26">
        <v>0</v>
      </c>
      <c r="G26">
        <v>449</v>
      </c>
    </row>
    <row r="27" spans="1:7" x14ac:dyDescent="0.3">
      <c r="A27">
        <v>26</v>
      </c>
      <c r="B27">
        <v>1011</v>
      </c>
      <c r="C27">
        <v>2</v>
      </c>
      <c r="D27">
        <v>2</v>
      </c>
      <c r="E27">
        <v>2499</v>
      </c>
      <c r="F27">
        <v>0</v>
      </c>
      <c r="G27">
        <v>4998</v>
      </c>
    </row>
    <row r="28" spans="1:7" x14ac:dyDescent="0.3">
      <c r="A28">
        <v>27</v>
      </c>
      <c r="B28">
        <v>1011</v>
      </c>
      <c r="C28">
        <v>8</v>
      </c>
      <c r="D28">
        <v>1</v>
      </c>
      <c r="E28">
        <v>299</v>
      </c>
      <c r="F28">
        <v>0.1</v>
      </c>
      <c r="G28">
        <v>269.10000000000002</v>
      </c>
    </row>
    <row r="29" spans="1:7" x14ac:dyDescent="0.3">
      <c r="A29">
        <v>28</v>
      </c>
      <c r="B29">
        <v>1012</v>
      </c>
      <c r="C29">
        <v>16</v>
      </c>
      <c r="D29">
        <v>1</v>
      </c>
      <c r="E29">
        <v>1599</v>
      </c>
      <c r="F29">
        <v>0.15</v>
      </c>
      <c r="G29">
        <v>1359.15</v>
      </c>
    </row>
    <row r="30" spans="1:7" x14ac:dyDescent="0.3">
      <c r="A30">
        <v>29</v>
      </c>
      <c r="B30">
        <v>1012</v>
      </c>
      <c r="C30">
        <v>18</v>
      </c>
      <c r="D30">
        <v>2</v>
      </c>
      <c r="E30">
        <v>3299</v>
      </c>
      <c r="F30">
        <v>0.1</v>
      </c>
      <c r="G30">
        <v>5938.2</v>
      </c>
    </row>
    <row r="31" spans="1:7" x14ac:dyDescent="0.3">
      <c r="A31">
        <v>30</v>
      </c>
      <c r="B31">
        <v>1013</v>
      </c>
      <c r="C31">
        <v>13</v>
      </c>
      <c r="D31">
        <v>2</v>
      </c>
      <c r="E31">
        <v>10999</v>
      </c>
      <c r="F31">
        <v>0.1</v>
      </c>
      <c r="G31">
        <v>19798.2</v>
      </c>
    </row>
    <row r="32" spans="1:7" x14ac:dyDescent="0.3">
      <c r="A32">
        <v>31</v>
      </c>
      <c r="B32">
        <v>1013</v>
      </c>
      <c r="C32">
        <v>12</v>
      </c>
      <c r="D32">
        <v>1</v>
      </c>
      <c r="E32">
        <v>399</v>
      </c>
      <c r="F32">
        <v>0</v>
      </c>
      <c r="G32">
        <v>399</v>
      </c>
    </row>
    <row r="33" spans="1:7" x14ac:dyDescent="0.3">
      <c r="A33">
        <v>32</v>
      </c>
      <c r="B33">
        <v>1013</v>
      </c>
      <c r="C33">
        <v>15</v>
      </c>
      <c r="D33">
        <v>1</v>
      </c>
      <c r="E33">
        <v>349</v>
      </c>
      <c r="F33">
        <v>0</v>
      </c>
      <c r="G33">
        <v>349</v>
      </c>
    </row>
    <row r="34" spans="1:7" x14ac:dyDescent="0.3">
      <c r="A34">
        <v>33</v>
      </c>
      <c r="B34">
        <v>1014</v>
      </c>
      <c r="C34">
        <v>3</v>
      </c>
      <c r="D34">
        <v>2</v>
      </c>
      <c r="E34">
        <v>1799</v>
      </c>
      <c r="F34">
        <v>0</v>
      </c>
      <c r="G34">
        <v>3598</v>
      </c>
    </row>
    <row r="35" spans="1:7" x14ac:dyDescent="0.3">
      <c r="A35">
        <v>34</v>
      </c>
      <c r="B35">
        <v>1015</v>
      </c>
      <c r="C35">
        <v>17</v>
      </c>
      <c r="D35">
        <v>1</v>
      </c>
      <c r="E35">
        <v>8499</v>
      </c>
      <c r="F35">
        <v>0.2</v>
      </c>
      <c r="G35">
        <v>6799.2</v>
      </c>
    </row>
    <row r="36" spans="1:7" x14ac:dyDescent="0.3">
      <c r="A36">
        <v>35</v>
      </c>
      <c r="B36">
        <v>1016</v>
      </c>
      <c r="C36">
        <v>8</v>
      </c>
      <c r="D36">
        <v>1</v>
      </c>
      <c r="E36">
        <v>299</v>
      </c>
      <c r="F36">
        <v>0.2</v>
      </c>
      <c r="G36">
        <v>239.2</v>
      </c>
    </row>
    <row r="37" spans="1:7" x14ac:dyDescent="0.3">
      <c r="A37">
        <v>36</v>
      </c>
      <c r="B37">
        <v>1016</v>
      </c>
      <c r="C37">
        <v>16</v>
      </c>
      <c r="D37">
        <v>1</v>
      </c>
      <c r="E37">
        <v>1599</v>
      </c>
      <c r="F37">
        <v>0.1</v>
      </c>
      <c r="G37">
        <v>1439.1</v>
      </c>
    </row>
    <row r="38" spans="1:7" x14ac:dyDescent="0.3">
      <c r="A38">
        <v>37</v>
      </c>
      <c r="B38">
        <v>1016</v>
      </c>
      <c r="C38">
        <v>14</v>
      </c>
      <c r="D38">
        <v>1</v>
      </c>
      <c r="E38">
        <v>2499</v>
      </c>
      <c r="F38">
        <v>0.2</v>
      </c>
      <c r="G38">
        <v>1999.2</v>
      </c>
    </row>
    <row r="39" spans="1:7" x14ac:dyDescent="0.3">
      <c r="A39">
        <v>38</v>
      </c>
      <c r="B39">
        <v>1016</v>
      </c>
      <c r="C39">
        <v>7</v>
      </c>
      <c r="D39">
        <v>1</v>
      </c>
      <c r="E39">
        <v>999</v>
      </c>
      <c r="F39">
        <v>0.2</v>
      </c>
      <c r="G39">
        <v>799.2</v>
      </c>
    </row>
    <row r="40" spans="1:7" x14ac:dyDescent="0.3">
      <c r="A40">
        <v>39</v>
      </c>
      <c r="B40">
        <v>1017</v>
      </c>
      <c r="C40">
        <v>8</v>
      </c>
      <c r="D40">
        <v>1</v>
      </c>
      <c r="E40">
        <v>299</v>
      </c>
      <c r="F40">
        <v>0.15</v>
      </c>
      <c r="G40">
        <v>254.15</v>
      </c>
    </row>
    <row r="41" spans="1:7" x14ac:dyDescent="0.3">
      <c r="A41">
        <v>40</v>
      </c>
      <c r="B41">
        <v>1018</v>
      </c>
      <c r="C41">
        <v>8</v>
      </c>
      <c r="D41">
        <v>1</v>
      </c>
      <c r="E41">
        <v>299</v>
      </c>
      <c r="F41">
        <v>0.15</v>
      </c>
      <c r="G41">
        <v>254.15</v>
      </c>
    </row>
    <row r="42" spans="1:7" x14ac:dyDescent="0.3">
      <c r="A42">
        <v>41</v>
      </c>
      <c r="B42">
        <v>1018</v>
      </c>
      <c r="C42">
        <v>3</v>
      </c>
      <c r="D42">
        <v>2</v>
      </c>
      <c r="E42">
        <v>1799</v>
      </c>
      <c r="F42">
        <v>0</v>
      </c>
      <c r="G42">
        <v>3598</v>
      </c>
    </row>
    <row r="43" spans="1:7" x14ac:dyDescent="0.3">
      <c r="A43">
        <v>42</v>
      </c>
      <c r="B43">
        <v>1018</v>
      </c>
      <c r="C43">
        <v>15</v>
      </c>
      <c r="D43">
        <v>2</v>
      </c>
      <c r="E43">
        <v>349</v>
      </c>
      <c r="F43">
        <v>0</v>
      </c>
      <c r="G43">
        <v>698</v>
      </c>
    </row>
    <row r="44" spans="1:7" x14ac:dyDescent="0.3">
      <c r="A44">
        <v>43</v>
      </c>
      <c r="B44">
        <v>1018</v>
      </c>
      <c r="C44">
        <v>4</v>
      </c>
      <c r="D44">
        <v>1</v>
      </c>
      <c r="E44">
        <v>2199</v>
      </c>
      <c r="F44">
        <v>0.1</v>
      </c>
      <c r="G44">
        <v>1979.1</v>
      </c>
    </row>
    <row r="45" spans="1:7" x14ac:dyDescent="0.3">
      <c r="A45">
        <v>44</v>
      </c>
      <c r="B45">
        <v>1019</v>
      </c>
      <c r="C45">
        <v>6</v>
      </c>
      <c r="D45">
        <v>1</v>
      </c>
      <c r="E45">
        <v>1899</v>
      </c>
      <c r="F45">
        <v>0.1</v>
      </c>
      <c r="G45">
        <v>1709.1</v>
      </c>
    </row>
    <row r="46" spans="1:7" x14ac:dyDescent="0.3">
      <c r="A46">
        <v>45</v>
      </c>
      <c r="B46">
        <v>1020</v>
      </c>
      <c r="C46">
        <v>5</v>
      </c>
      <c r="D46">
        <v>3</v>
      </c>
      <c r="E46">
        <v>1299</v>
      </c>
      <c r="F46">
        <v>0.15</v>
      </c>
      <c r="G46">
        <v>3312.45</v>
      </c>
    </row>
    <row r="47" spans="1:7" x14ac:dyDescent="0.3">
      <c r="A47">
        <v>46</v>
      </c>
      <c r="B47">
        <v>1020</v>
      </c>
      <c r="C47">
        <v>7</v>
      </c>
      <c r="D47">
        <v>2</v>
      </c>
      <c r="E47">
        <v>999</v>
      </c>
      <c r="F47">
        <v>0</v>
      </c>
      <c r="G47">
        <v>1998</v>
      </c>
    </row>
    <row r="48" spans="1:7" x14ac:dyDescent="0.3">
      <c r="A48">
        <v>47</v>
      </c>
      <c r="B48">
        <v>1020</v>
      </c>
      <c r="C48">
        <v>10</v>
      </c>
      <c r="D48">
        <v>2</v>
      </c>
      <c r="E48">
        <v>599</v>
      </c>
      <c r="F48">
        <v>0</v>
      </c>
      <c r="G48">
        <v>1198</v>
      </c>
    </row>
    <row r="49" spans="1:7" x14ac:dyDescent="0.3">
      <c r="A49">
        <v>48</v>
      </c>
      <c r="B49">
        <v>1020</v>
      </c>
      <c r="C49">
        <v>19</v>
      </c>
      <c r="D49">
        <v>1</v>
      </c>
      <c r="E49">
        <v>499</v>
      </c>
      <c r="F49">
        <v>0.1</v>
      </c>
      <c r="G49">
        <v>449.1</v>
      </c>
    </row>
    <row r="50" spans="1:7" x14ac:dyDescent="0.3">
      <c r="A50">
        <v>49</v>
      </c>
      <c r="B50">
        <v>1021</v>
      </c>
      <c r="C50">
        <v>6</v>
      </c>
      <c r="D50">
        <v>1</v>
      </c>
      <c r="E50">
        <v>1899</v>
      </c>
      <c r="F50">
        <v>0</v>
      </c>
      <c r="G50">
        <v>1899</v>
      </c>
    </row>
    <row r="51" spans="1:7" x14ac:dyDescent="0.3">
      <c r="A51">
        <v>50</v>
      </c>
      <c r="B51">
        <v>1022</v>
      </c>
      <c r="C51">
        <v>20</v>
      </c>
      <c r="D51">
        <v>1</v>
      </c>
      <c r="E51">
        <v>449</v>
      </c>
      <c r="F51">
        <v>0.2</v>
      </c>
      <c r="G51">
        <v>359.2</v>
      </c>
    </row>
    <row r="52" spans="1:7" x14ac:dyDescent="0.3">
      <c r="A52">
        <v>51</v>
      </c>
      <c r="B52">
        <v>1023</v>
      </c>
      <c r="C52">
        <v>7</v>
      </c>
      <c r="D52">
        <v>1</v>
      </c>
      <c r="E52">
        <v>999</v>
      </c>
      <c r="F52">
        <v>0</v>
      </c>
      <c r="G52">
        <v>999</v>
      </c>
    </row>
    <row r="53" spans="1:7" x14ac:dyDescent="0.3">
      <c r="A53">
        <v>52</v>
      </c>
      <c r="B53">
        <v>1023</v>
      </c>
      <c r="C53">
        <v>11</v>
      </c>
      <c r="D53">
        <v>2</v>
      </c>
      <c r="E53">
        <v>1099</v>
      </c>
      <c r="F53">
        <v>0.05</v>
      </c>
      <c r="G53">
        <v>2088.1</v>
      </c>
    </row>
    <row r="54" spans="1:7" x14ac:dyDescent="0.3">
      <c r="A54">
        <v>53</v>
      </c>
      <c r="B54">
        <v>1023</v>
      </c>
      <c r="C54">
        <v>8</v>
      </c>
      <c r="D54">
        <v>1</v>
      </c>
      <c r="E54">
        <v>299</v>
      </c>
      <c r="F54">
        <v>0</v>
      </c>
      <c r="G54">
        <v>299</v>
      </c>
    </row>
    <row r="55" spans="1:7" x14ac:dyDescent="0.3">
      <c r="A55">
        <v>54</v>
      </c>
      <c r="B55">
        <v>1024</v>
      </c>
      <c r="C55">
        <v>3</v>
      </c>
      <c r="D55">
        <v>1</v>
      </c>
      <c r="E55">
        <v>1799</v>
      </c>
      <c r="F55">
        <v>0.15</v>
      </c>
      <c r="G55">
        <v>1529.15</v>
      </c>
    </row>
    <row r="56" spans="1:7" x14ac:dyDescent="0.3">
      <c r="A56">
        <v>55</v>
      </c>
      <c r="B56">
        <v>1025</v>
      </c>
      <c r="C56">
        <v>10</v>
      </c>
      <c r="D56">
        <v>2</v>
      </c>
      <c r="E56">
        <v>599</v>
      </c>
      <c r="F56">
        <v>0.2</v>
      </c>
      <c r="G56">
        <v>958.4</v>
      </c>
    </row>
    <row r="57" spans="1:7" x14ac:dyDescent="0.3">
      <c r="A57">
        <v>56</v>
      </c>
      <c r="B57">
        <v>1025</v>
      </c>
      <c r="C57">
        <v>6</v>
      </c>
      <c r="D57">
        <v>1</v>
      </c>
      <c r="E57">
        <v>1899</v>
      </c>
      <c r="F57">
        <v>0.2</v>
      </c>
      <c r="G57">
        <v>1519.2</v>
      </c>
    </row>
    <row r="58" spans="1:7" x14ac:dyDescent="0.3">
      <c r="A58">
        <v>57</v>
      </c>
      <c r="B58">
        <v>1025</v>
      </c>
      <c r="C58">
        <v>15</v>
      </c>
      <c r="D58">
        <v>1</v>
      </c>
      <c r="E58">
        <v>349</v>
      </c>
      <c r="F58">
        <v>0.2</v>
      </c>
      <c r="G58">
        <v>279.2</v>
      </c>
    </row>
    <row r="59" spans="1:7" x14ac:dyDescent="0.3">
      <c r="A59">
        <v>58</v>
      </c>
      <c r="B59">
        <v>1026</v>
      </c>
      <c r="C59">
        <v>4</v>
      </c>
      <c r="D59">
        <v>1</v>
      </c>
      <c r="E59">
        <v>2199</v>
      </c>
      <c r="F59">
        <v>0.05</v>
      </c>
      <c r="G59">
        <v>2089.0500000000002</v>
      </c>
    </row>
    <row r="60" spans="1:7" x14ac:dyDescent="0.3">
      <c r="A60">
        <v>59</v>
      </c>
      <c r="B60">
        <v>1026</v>
      </c>
      <c r="C60">
        <v>20</v>
      </c>
      <c r="D60">
        <v>1</v>
      </c>
      <c r="E60">
        <v>449</v>
      </c>
      <c r="F60">
        <v>0.2</v>
      </c>
      <c r="G60">
        <v>359.2</v>
      </c>
    </row>
    <row r="61" spans="1:7" x14ac:dyDescent="0.3">
      <c r="A61">
        <v>60</v>
      </c>
      <c r="B61">
        <v>1026</v>
      </c>
      <c r="C61">
        <v>18</v>
      </c>
      <c r="D61">
        <v>1</v>
      </c>
      <c r="E61">
        <v>3299</v>
      </c>
      <c r="F61">
        <v>0.2</v>
      </c>
      <c r="G61">
        <v>2639.2</v>
      </c>
    </row>
    <row r="62" spans="1:7" x14ac:dyDescent="0.3">
      <c r="A62">
        <v>61</v>
      </c>
      <c r="B62">
        <v>1027</v>
      </c>
      <c r="C62">
        <v>14</v>
      </c>
      <c r="D62">
        <v>2</v>
      </c>
      <c r="E62">
        <v>2499</v>
      </c>
      <c r="F62">
        <v>0</v>
      </c>
      <c r="G62">
        <v>4998</v>
      </c>
    </row>
    <row r="63" spans="1:7" x14ac:dyDescent="0.3">
      <c r="A63">
        <v>62</v>
      </c>
      <c r="B63">
        <v>1028</v>
      </c>
      <c r="C63">
        <v>6</v>
      </c>
      <c r="D63">
        <v>2</v>
      </c>
      <c r="E63">
        <v>1899</v>
      </c>
      <c r="F63">
        <v>0.15</v>
      </c>
      <c r="G63">
        <v>3228.3</v>
      </c>
    </row>
    <row r="64" spans="1:7" x14ac:dyDescent="0.3">
      <c r="A64">
        <v>63</v>
      </c>
      <c r="B64">
        <v>1028</v>
      </c>
      <c r="C64">
        <v>15</v>
      </c>
      <c r="D64">
        <v>1</v>
      </c>
      <c r="E64">
        <v>349</v>
      </c>
      <c r="F64">
        <v>0</v>
      </c>
      <c r="G64">
        <v>349</v>
      </c>
    </row>
    <row r="65" spans="1:7" x14ac:dyDescent="0.3">
      <c r="A65">
        <v>64</v>
      </c>
      <c r="B65">
        <v>1028</v>
      </c>
      <c r="C65">
        <v>18</v>
      </c>
      <c r="D65">
        <v>3</v>
      </c>
      <c r="E65">
        <v>3299</v>
      </c>
      <c r="F65">
        <v>0.2</v>
      </c>
      <c r="G65">
        <v>7917.6</v>
      </c>
    </row>
    <row r="66" spans="1:7" x14ac:dyDescent="0.3">
      <c r="A66">
        <v>65</v>
      </c>
      <c r="B66">
        <v>1029</v>
      </c>
      <c r="C66">
        <v>14</v>
      </c>
      <c r="D66">
        <v>1</v>
      </c>
      <c r="E66">
        <v>2499</v>
      </c>
      <c r="F66">
        <v>0.05</v>
      </c>
      <c r="G66">
        <v>2374.0500000000002</v>
      </c>
    </row>
    <row r="67" spans="1:7" x14ac:dyDescent="0.3">
      <c r="A67">
        <v>66</v>
      </c>
      <c r="B67">
        <v>1029</v>
      </c>
      <c r="C67">
        <v>5</v>
      </c>
      <c r="D67">
        <v>2</v>
      </c>
      <c r="E67">
        <v>1299</v>
      </c>
      <c r="F67">
        <v>0</v>
      </c>
      <c r="G67">
        <v>2598</v>
      </c>
    </row>
    <row r="68" spans="1:7" x14ac:dyDescent="0.3">
      <c r="A68">
        <v>67</v>
      </c>
      <c r="B68">
        <v>1030</v>
      </c>
      <c r="C68">
        <v>18</v>
      </c>
      <c r="D68">
        <v>2</v>
      </c>
      <c r="E68">
        <v>3299</v>
      </c>
      <c r="F68">
        <v>0</v>
      </c>
      <c r="G68">
        <v>6598</v>
      </c>
    </row>
    <row r="69" spans="1:7" x14ac:dyDescent="0.3">
      <c r="A69">
        <v>68</v>
      </c>
      <c r="B69">
        <v>1030</v>
      </c>
      <c r="C69">
        <v>14</v>
      </c>
      <c r="D69">
        <v>2</v>
      </c>
      <c r="E69">
        <v>2499</v>
      </c>
      <c r="F69">
        <v>0</v>
      </c>
      <c r="G69">
        <v>4998</v>
      </c>
    </row>
    <row r="70" spans="1:7" x14ac:dyDescent="0.3">
      <c r="A70">
        <v>69</v>
      </c>
      <c r="B70">
        <v>1030</v>
      </c>
      <c r="C70">
        <v>5</v>
      </c>
      <c r="D70">
        <v>2</v>
      </c>
      <c r="E70">
        <v>1299</v>
      </c>
      <c r="F70">
        <v>0</v>
      </c>
      <c r="G70">
        <v>2598</v>
      </c>
    </row>
    <row r="71" spans="1:7" x14ac:dyDescent="0.3">
      <c r="A71">
        <v>70</v>
      </c>
      <c r="B71">
        <v>1031</v>
      </c>
      <c r="C71">
        <v>9</v>
      </c>
      <c r="D71">
        <v>2</v>
      </c>
      <c r="E71">
        <v>199</v>
      </c>
      <c r="F71">
        <v>0</v>
      </c>
      <c r="G71">
        <v>398</v>
      </c>
    </row>
    <row r="72" spans="1:7" x14ac:dyDescent="0.3">
      <c r="A72">
        <v>71</v>
      </c>
      <c r="B72">
        <v>1031</v>
      </c>
      <c r="C72">
        <v>6</v>
      </c>
      <c r="D72">
        <v>1</v>
      </c>
      <c r="E72">
        <v>1899</v>
      </c>
      <c r="F72">
        <v>0</v>
      </c>
      <c r="G72">
        <v>1899</v>
      </c>
    </row>
    <row r="73" spans="1:7" x14ac:dyDescent="0.3">
      <c r="A73">
        <v>72</v>
      </c>
      <c r="B73">
        <v>1032</v>
      </c>
      <c r="C73">
        <v>10</v>
      </c>
      <c r="D73">
        <v>1</v>
      </c>
      <c r="E73">
        <v>599</v>
      </c>
      <c r="F73">
        <v>0</v>
      </c>
      <c r="G73">
        <v>599</v>
      </c>
    </row>
    <row r="74" spans="1:7" x14ac:dyDescent="0.3">
      <c r="A74">
        <v>73</v>
      </c>
      <c r="B74">
        <v>1032</v>
      </c>
      <c r="C74">
        <v>8</v>
      </c>
      <c r="D74">
        <v>1</v>
      </c>
      <c r="E74">
        <v>299</v>
      </c>
      <c r="F74">
        <v>0.05</v>
      </c>
      <c r="G74">
        <v>284.05</v>
      </c>
    </row>
    <row r="75" spans="1:7" x14ac:dyDescent="0.3">
      <c r="A75">
        <v>74</v>
      </c>
      <c r="B75">
        <v>1032</v>
      </c>
      <c r="C75">
        <v>19</v>
      </c>
      <c r="D75">
        <v>2</v>
      </c>
      <c r="E75">
        <v>499</v>
      </c>
      <c r="F75">
        <v>0.05</v>
      </c>
      <c r="G75">
        <v>948.1</v>
      </c>
    </row>
    <row r="76" spans="1:7" x14ac:dyDescent="0.3">
      <c r="A76">
        <v>75</v>
      </c>
      <c r="B76">
        <v>1033</v>
      </c>
      <c r="C76">
        <v>1</v>
      </c>
      <c r="D76">
        <v>1</v>
      </c>
      <c r="E76">
        <v>799</v>
      </c>
      <c r="F76">
        <v>0.05</v>
      </c>
      <c r="G76">
        <v>759.05</v>
      </c>
    </row>
    <row r="77" spans="1:7" x14ac:dyDescent="0.3">
      <c r="A77">
        <v>76</v>
      </c>
      <c r="B77">
        <v>1033</v>
      </c>
      <c r="C77">
        <v>4</v>
      </c>
      <c r="D77">
        <v>1</v>
      </c>
      <c r="E77">
        <v>2199</v>
      </c>
      <c r="F77">
        <v>0.15</v>
      </c>
      <c r="G77">
        <v>1869.15</v>
      </c>
    </row>
    <row r="78" spans="1:7" x14ac:dyDescent="0.3">
      <c r="A78">
        <v>77</v>
      </c>
      <c r="B78">
        <v>1033</v>
      </c>
      <c r="C78">
        <v>9</v>
      </c>
      <c r="D78">
        <v>1</v>
      </c>
      <c r="E78">
        <v>199</v>
      </c>
      <c r="F78">
        <v>0.2</v>
      </c>
      <c r="G78">
        <v>159.19999999999999</v>
      </c>
    </row>
    <row r="79" spans="1:7" x14ac:dyDescent="0.3">
      <c r="A79">
        <v>78</v>
      </c>
      <c r="B79">
        <v>1034</v>
      </c>
      <c r="C79">
        <v>13</v>
      </c>
      <c r="D79">
        <v>2</v>
      </c>
      <c r="E79">
        <v>10999</v>
      </c>
      <c r="F79">
        <v>0</v>
      </c>
      <c r="G79">
        <v>21998</v>
      </c>
    </row>
    <row r="80" spans="1:7" x14ac:dyDescent="0.3">
      <c r="A80">
        <v>79</v>
      </c>
      <c r="B80">
        <v>1035</v>
      </c>
      <c r="C80">
        <v>12</v>
      </c>
      <c r="D80">
        <v>1</v>
      </c>
      <c r="E80">
        <v>399</v>
      </c>
      <c r="F80">
        <v>0.2</v>
      </c>
      <c r="G80">
        <v>319.2</v>
      </c>
    </row>
    <row r="81" spans="1:7" x14ac:dyDescent="0.3">
      <c r="A81">
        <v>80</v>
      </c>
      <c r="B81">
        <v>1035</v>
      </c>
      <c r="C81">
        <v>14</v>
      </c>
      <c r="D81">
        <v>2</v>
      </c>
      <c r="E81">
        <v>2499</v>
      </c>
      <c r="F81">
        <v>0.15</v>
      </c>
      <c r="G81">
        <v>4248.3</v>
      </c>
    </row>
    <row r="82" spans="1:7" x14ac:dyDescent="0.3">
      <c r="A82">
        <v>81</v>
      </c>
      <c r="B82">
        <v>1036</v>
      </c>
      <c r="C82">
        <v>17</v>
      </c>
      <c r="D82">
        <v>1</v>
      </c>
      <c r="E82">
        <v>8499</v>
      </c>
      <c r="F82">
        <v>0.2</v>
      </c>
      <c r="G82">
        <v>6799.2</v>
      </c>
    </row>
    <row r="83" spans="1:7" x14ac:dyDescent="0.3">
      <c r="A83">
        <v>82</v>
      </c>
      <c r="B83">
        <v>1036</v>
      </c>
      <c r="C83">
        <v>10</v>
      </c>
      <c r="D83">
        <v>1</v>
      </c>
      <c r="E83">
        <v>599</v>
      </c>
      <c r="F83">
        <v>0</v>
      </c>
      <c r="G83">
        <v>599</v>
      </c>
    </row>
    <row r="84" spans="1:7" x14ac:dyDescent="0.3">
      <c r="A84">
        <v>83</v>
      </c>
      <c r="B84">
        <v>1036</v>
      </c>
      <c r="C84">
        <v>14</v>
      </c>
      <c r="D84">
        <v>1</v>
      </c>
      <c r="E84">
        <v>2499</v>
      </c>
      <c r="F84">
        <v>0.2</v>
      </c>
      <c r="G84">
        <v>1999.2</v>
      </c>
    </row>
    <row r="85" spans="1:7" x14ac:dyDescent="0.3">
      <c r="A85">
        <v>84</v>
      </c>
      <c r="B85">
        <v>1037</v>
      </c>
      <c r="C85">
        <v>13</v>
      </c>
      <c r="D85">
        <v>1</v>
      </c>
      <c r="E85">
        <v>10999</v>
      </c>
      <c r="F85">
        <v>0</v>
      </c>
      <c r="G85">
        <v>10999</v>
      </c>
    </row>
    <row r="86" spans="1:7" x14ac:dyDescent="0.3">
      <c r="A86">
        <v>85</v>
      </c>
      <c r="B86">
        <v>1037</v>
      </c>
      <c r="C86">
        <v>18</v>
      </c>
      <c r="D86">
        <v>1</v>
      </c>
      <c r="E86">
        <v>3299</v>
      </c>
      <c r="F86">
        <v>0.15</v>
      </c>
      <c r="G86">
        <v>2804.15</v>
      </c>
    </row>
    <row r="87" spans="1:7" x14ac:dyDescent="0.3">
      <c r="A87">
        <v>86</v>
      </c>
      <c r="B87">
        <v>1037</v>
      </c>
      <c r="C87">
        <v>1</v>
      </c>
      <c r="D87">
        <v>1</v>
      </c>
      <c r="E87">
        <v>799</v>
      </c>
      <c r="F87">
        <v>0.05</v>
      </c>
      <c r="G87">
        <v>759.05</v>
      </c>
    </row>
    <row r="88" spans="1:7" x14ac:dyDescent="0.3">
      <c r="A88">
        <v>87</v>
      </c>
      <c r="B88">
        <v>1038</v>
      </c>
      <c r="C88">
        <v>6</v>
      </c>
      <c r="D88">
        <v>2</v>
      </c>
      <c r="E88">
        <v>1899</v>
      </c>
      <c r="F88">
        <v>0.15</v>
      </c>
      <c r="G88">
        <v>3228.3</v>
      </c>
    </row>
    <row r="89" spans="1:7" x14ac:dyDescent="0.3">
      <c r="A89">
        <v>88</v>
      </c>
      <c r="B89">
        <v>1038</v>
      </c>
      <c r="C89">
        <v>3</v>
      </c>
      <c r="D89">
        <v>1</v>
      </c>
      <c r="E89">
        <v>1799</v>
      </c>
      <c r="F89">
        <v>0</v>
      </c>
      <c r="G89">
        <v>1799</v>
      </c>
    </row>
    <row r="90" spans="1:7" x14ac:dyDescent="0.3">
      <c r="A90">
        <v>89</v>
      </c>
      <c r="B90">
        <v>1038</v>
      </c>
      <c r="C90">
        <v>10</v>
      </c>
      <c r="D90">
        <v>2</v>
      </c>
      <c r="E90">
        <v>599</v>
      </c>
      <c r="F90">
        <v>0</v>
      </c>
      <c r="G90">
        <v>1198</v>
      </c>
    </row>
    <row r="91" spans="1:7" x14ac:dyDescent="0.3">
      <c r="A91">
        <v>90</v>
      </c>
      <c r="B91">
        <v>1038</v>
      </c>
      <c r="C91">
        <v>17</v>
      </c>
      <c r="D91">
        <v>2</v>
      </c>
      <c r="E91">
        <v>8499</v>
      </c>
      <c r="F91">
        <v>0</v>
      </c>
      <c r="G91">
        <v>16998</v>
      </c>
    </row>
    <row r="92" spans="1:7" x14ac:dyDescent="0.3">
      <c r="A92">
        <v>91</v>
      </c>
      <c r="B92">
        <v>1039</v>
      </c>
      <c r="C92">
        <v>15</v>
      </c>
      <c r="D92">
        <v>1</v>
      </c>
      <c r="E92">
        <v>349</v>
      </c>
      <c r="F92">
        <v>0.2</v>
      </c>
      <c r="G92">
        <v>279.2</v>
      </c>
    </row>
    <row r="93" spans="1:7" x14ac:dyDescent="0.3">
      <c r="A93">
        <v>92</v>
      </c>
      <c r="B93">
        <v>1040</v>
      </c>
      <c r="C93">
        <v>13</v>
      </c>
      <c r="D93">
        <v>2</v>
      </c>
      <c r="E93">
        <v>10999</v>
      </c>
      <c r="F93">
        <v>0</v>
      </c>
      <c r="G93">
        <v>21998</v>
      </c>
    </row>
    <row r="94" spans="1:7" x14ac:dyDescent="0.3">
      <c r="A94">
        <v>93</v>
      </c>
      <c r="B94">
        <v>1040</v>
      </c>
      <c r="C94">
        <v>8</v>
      </c>
      <c r="D94">
        <v>2</v>
      </c>
      <c r="E94">
        <v>299</v>
      </c>
      <c r="F94">
        <v>0</v>
      </c>
      <c r="G94">
        <v>598</v>
      </c>
    </row>
    <row r="95" spans="1:7" x14ac:dyDescent="0.3">
      <c r="A95">
        <v>94</v>
      </c>
      <c r="B95">
        <v>1040</v>
      </c>
      <c r="C95">
        <v>5</v>
      </c>
      <c r="D95">
        <v>1</v>
      </c>
      <c r="E95">
        <v>1299</v>
      </c>
      <c r="F95">
        <v>0.2</v>
      </c>
      <c r="G95">
        <v>1039.2</v>
      </c>
    </row>
    <row r="96" spans="1:7" x14ac:dyDescent="0.3">
      <c r="A96">
        <v>95</v>
      </c>
      <c r="B96">
        <v>1040</v>
      </c>
      <c r="C96">
        <v>1</v>
      </c>
      <c r="D96">
        <v>1</v>
      </c>
      <c r="E96">
        <v>799</v>
      </c>
      <c r="F96">
        <v>0</v>
      </c>
      <c r="G96">
        <v>799</v>
      </c>
    </row>
    <row r="97" spans="1:7" x14ac:dyDescent="0.3">
      <c r="A97">
        <v>96</v>
      </c>
      <c r="B97">
        <v>1041</v>
      </c>
      <c r="C97">
        <v>5</v>
      </c>
      <c r="D97">
        <v>3</v>
      </c>
      <c r="E97">
        <v>1299</v>
      </c>
      <c r="F97">
        <v>0.1</v>
      </c>
      <c r="G97">
        <v>3507.3</v>
      </c>
    </row>
    <row r="98" spans="1:7" x14ac:dyDescent="0.3">
      <c r="A98">
        <v>97</v>
      </c>
      <c r="B98">
        <v>1041</v>
      </c>
      <c r="C98">
        <v>15</v>
      </c>
      <c r="D98">
        <v>1</v>
      </c>
      <c r="E98">
        <v>349</v>
      </c>
      <c r="F98">
        <v>0.2</v>
      </c>
      <c r="G98">
        <v>279.2</v>
      </c>
    </row>
    <row r="99" spans="1:7" x14ac:dyDescent="0.3">
      <c r="A99">
        <v>98</v>
      </c>
      <c r="B99">
        <v>1041</v>
      </c>
      <c r="C99">
        <v>17</v>
      </c>
      <c r="D99">
        <v>2</v>
      </c>
      <c r="E99">
        <v>8499</v>
      </c>
      <c r="F99">
        <v>0.1</v>
      </c>
      <c r="G99">
        <v>15298.2</v>
      </c>
    </row>
    <row r="100" spans="1:7" x14ac:dyDescent="0.3">
      <c r="A100">
        <v>99</v>
      </c>
      <c r="B100">
        <v>1041</v>
      </c>
      <c r="C100">
        <v>11</v>
      </c>
      <c r="D100">
        <v>2</v>
      </c>
      <c r="E100">
        <v>1099</v>
      </c>
      <c r="F100">
        <v>0.15</v>
      </c>
      <c r="G100">
        <v>1868.3</v>
      </c>
    </row>
    <row r="101" spans="1:7" x14ac:dyDescent="0.3">
      <c r="A101">
        <v>100</v>
      </c>
      <c r="B101">
        <v>1042</v>
      </c>
      <c r="C101">
        <v>9</v>
      </c>
      <c r="D101">
        <v>1</v>
      </c>
      <c r="E101">
        <v>199</v>
      </c>
      <c r="F101">
        <v>0</v>
      </c>
      <c r="G101">
        <v>199</v>
      </c>
    </row>
    <row r="102" spans="1:7" x14ac:dyDescent="0.3">
      <c r="A102">
        <v>101</v>
      </c>
      <c r="B102">
        <v>1042</v>
      </c>
      <c r="C102">
        <v>8</v>
      </c>
      <c r="D102">
        <v>1</v>
      </c>
      <c r="E102">
        <v>299</v>
      </c>
      <c r="F102">
        <v>0</v>
      </c>
      <c r="G102">
        <v>299</v>
      </c>
    </row>
    <row r="103" spans="1:7" x14ac:dyDescent="0.3">
      <c r="A103">
        <v>102</v>
      </c>
      <c r="B103">
        <v>1042</v>
      </c>
      <c r="C103">
        <v>20</v>
      </c>
      <c r="D103">
        <v>2</v>
      </c>
      <c r="E103">
        <v>449</v>
      </c>
      <c r="F103">
        <v>0</v>
      </c>
      <c r="G103">
        <v>898</v>
      </c>
    </row>
    <row r="104" spans="1:7" x14ac:dyDescent="0.3">
      <c r="A104">
        <v>103</v>
      </c>
      <c r="B104">
        <v>1042</v>
      </c>
      <c r="C104">
        <v>17</v>
      </c>
      <c r="D104">
        <v>1</v>
      </c>
      <c r="E104">
        <v>8499</v>
      </c>
      <c r="F104">
        <v>0.05</v>
      </c>
      <c r="G104">
        <v>8074.05</v>
      </c>
    </row>
    <row r="105" spans="1:7" x14ac:dyDescent="0.3">
      <c r="A105">
        <v>104</v>
      </c>
      <c r="B105">
        <v>1043</v>
      </c>
      <c r="C105">
        <v>5</v>
      </c>
      <c r="D105">
        <v>1</v>
      </c>
      <c r="E105">
        <v>1299</v>
      </c>
      <c r="F105">
        <v>0.15</v>
      </c>
      <c r="G105">
        <v>1104.1500000000001</v>
      </c>
    </row>
    <row r="106" spans="1:7" x14ac:dyDescent="0.3">
      <c r="A106">
        <v>105</v>
      </c>
      <c r="B106">
        <v>1043</v>
      </c>
      <c r="C106">
        <v>7</v>
      </c>
      <c r="D106">
        <v>1</v>
      </c>
      <c r="E106">
        <v>999</v>
      </c>
      <c r="F106">
        <v>0</v>
      </c>
      <c r="G106">
        <v>999</v>
      </c>
    </row>
    <row r="107" spans="1:7" x14ac:dyDescent="0.3">
      <c r="A107">
        <v>106</v>
      </c>
      <c r="B107">
        <v>1043</v>
      </c>
      <c r="C107">
        <v>3</v>
      </c>
      <c r="D107">
        <v>1</v>
      </c>
      <c r="E107">
        <v>1799</v>
      </c>
      <c r="F107">
        <v>0.1</v>
      </c>
      <c r="G107">
        <v>1619.1</v>
      </c>
    </row>
    <row r="108" spans="1:7" x14ac:dyDescent="0.3">
      <c r="A108">
        <v>107</v>
      </c>
      <c r="B108">
        <v>1043</v>
      </c>
      <c r="C108">
        <v>14</v>
      </c>
      <c r="D108">
        <v>1</v>
      </c>
      <c r="E108">
        <v>2499</v>
      </c>
      <c r="F108">
        <v>0.15</v>
      </c>
      <c r="G108">
        <v>2124.15</v>
      </c>
    </row>
    <row r="109" spans="1:7" x14ac:dyDescent="0.3">
      <c r="A109">
        <v>108</v>
      </c>
      <c r="B109">
        <v>1044</v>
      </c>
      <c r="C109">
        <v>10</v>
      </c>
      <c r="D109">
        <v>1</v>
      </c>
      <c r="E109">
        <v>599</v>
      </c>
      <c r="F109">
        <v>0.2</v>
      </c>
      <c r="G109">
        <v>479.2</v>
      </c>
    </row>
    <row r="110" spans="1:7" x14ac:dyDescent="0.3">
      <c r="A110">
        <v>109</v>
      </c>
      <c r="B110">
        <v>1044</v>
      </c>
      <c r="C110">
        <v>13</v>
      </c>
      <c r="D110">
        <v>1</v>
      </c>
      <c r="E110">
        <v>10999</v>
      </c>
      <c r="F110">
        <v>0.15</v>
      </c>
      <c r="G110">
        <v>9349.15</v>
      </c>
    </row>
    <row r="111" spans="1:7" x14ac:dyDescent="0.3">
      <c r="A111">
        <v>110</v>
      </c>
      <c r="B111">
        <v>1044</v>
      </c>
      <c r="C111">
        <v>14</v>
      </c>
      <c r="D111">
        <v>2</v>
      </c>
      <c r="E111">
        <v>2499</v>
      </c>
      <c r="F111">
        <v>0.1</v>
      </c>
      <c r="G111">
        <v>4498.2</v>
      </c>
    </row>
    <row r="112" spans="1:7" x14ac:dyDescent="0.3">
      <c r="A112">
        <v>111</v>
      </c>
      <c r="B112">
        <v>1045</v>
      </c>
      <c r="C112">
        <v>11</v>
      </c>
      <c r="D112">
        <v>2</v>
      </c>
      <c r="E112">
        <v>1099</v>
      </c>
      <c r="F112">
        <v>0.15</v>
      </c>
      <c r="G112">
        <v>1868.3</v>
      </c>
    </row>
    <row r="113" spans="1:7" x14ac:dyDescent="0.3">
      <c r="A113">
        <v>112</v>
      </c>
      <c r="B113">
        <v>1045</v>
      </c>
      <c r="C113">
        <v>13</v>
      </c>
      <c r="D113">
        <v>1</v>
      </c>
      <c r="E113">
        <v>10999</v>
      </c>
      <c r="F113">
        <v>0.1</v>
      </c>
      <c r="G113">
        <v>9899.1</v>
      </c>
    </row>
    <row r="114" spans="1:7" x14ac:dyDescent="0.3">
      <c r="A114">
        <v>113</v>
      </c>
      <c r="B114">
        <v>1045</v>
      </c>
      <c r="C114">
        <v>6</v>
      </c>
      <c r="D114">
        <v>1</v>
      </c>
      <c r="E114">
        <v>1899</v>
      </c>
      <c r="F114">
        <v>0.2</v>
      </c>
      <c r="G114">
        <v>1519.2</v>
      </c>
    </row>
    <row r="115" spans="1:7" x14ac:dyDescent="0.3">
      <c r="A115">
        <v>114</v>
      </c>
      <c r="B115">
        <v>1045</v>
      </c>
      <c r="C115">
        <v>15</v>
      </c>
      <c r="D115">
        <v>1</v>
      </c>
      <c r="E115">
        <v>349</v>
      </c>
      <c r="F115">
        <v>0.2</v>
      </c>
      <c r="G115">
        <v>279.2</v>
      </c>
    </row>
    <row r="116" spans="1:7" x14ac:dyDescent="0.3">
      <c r="A116">
        <v>115</v>
      </c>
      <c r="B116">
        <v>1046</v>
      </c>
      <c r="C116">
        <v>2</v>
      </c>
      <c r="D116">
        <v>1</v>
      </c>
      <c r="E116">
        <v>2499</v>
      </c>
      <c r="F116">
        <v>0</v>
      </c>
      <c r="G116">
        <v>2499</v>
      </c>
    </row>
    <row r="117" spans="1:7" x14ac:dyDescent="0.3">
      <c r="A117">
        <v>116</v>
      </c>
      <c r="B117">
        <v>1046</v>
      </c>
      <c r="C117">
        <v>9</v>
      </c>
      <c r="D117">
        <v>1</v>
      </c>
      <c r="E117">
        <v>199</v>
      </c>
      <c r="F117">
        <v>0.05</v>
      </c>
      <c r="G117">
        <v>189.05</v>
      </c>
    </row>
    <row r="118" spans="1:7" x14ac:dyDescent="0.3">
      <c r="A118">
        <v>117</v>
      </c>
      <c r="B118">
        <v>1047</v>
      </c>
      <c r="C118">
        <v>3</v>
      </c>
      <c r="D118">
        <v>2</v>
      </c>
      <c r="E118">
        <v>1799</v>
      </c>
      <c r="F118">
        <v>0</v>
      </c>
      <c r="G118">
        <v>3598</v>
      </c>
    </row>
    <row r="119" spans="1:7" x14ac:dyDescent="0.3">
      <c r="A119">
        <v>118</v>
      </c>
      <c r="B119">
        <v>1047</v>
      </c>
      <c r="C119">
        <v>16</v>
      </c>
      <c r="D119">
        <v>3</v>
      </c>
      <c r="E119">
        <v>1599</v>
      </c>
      <c r="F119">
        <v>0.05</v>
      </c>
      <c r="G119">
        <v>4557.1499999999996</v>
      </c>
    </row>
    <row r="120" spans="1:7" x14ac:dyDescent="0.3">
      <c r="A120">
        <v>119</v>
      </c>
      <c r="B120">
        <v>1047</v>
      </c>
      <c r="C120">
        <v>1</v>
      </c>
      <c r="D120">
        <v>1</v>
      </c>
      <c r="E120">
        <v>799</v>
      </c>
      <c r="F120">
        <v>0</v>
      </c>
      <c r="G120">
        <v>799</v>
      </c>
    </row>
    <row r="121" spans="1:7" x14ac:dyDescent="0.3">
      <c r="A121">
        <v>120</v>
      </c>
      <c r="B121">
        <v>1048</v>
      </c>
      <c r="C121">
        <v>8</v>
      </c>
      <c r="D121">
        <v>1</v>
      </c>
      <c r="E121">
        <v>299</v>
      </c>
      <c r="F121">
        <v>0</v>
      </c>
      <c r="G121">
        <v>299</v>
      </c>
    </row>
    <row r="122" spans="1:7" x14ac:dyDescent="0.3">
      <c r="A122">
        <v>121</v>
      </c>
      <c r="B122">
        <v>1048</v>
      </c>
      <c r="C122">
        <v>5</v>
      </c>
      <c r="D122">
        <v>1</v>
      </c>
      <c r="E122">
        <v>1299</v>
      </c>
      <c r="F122">
        <v>0</v>
      </c>
      <c r="G122">
        <v>1299</v>
      </c>
    </row>
    <row r="123" spans="1:7" x14ac:dyDescent="0.3">
      <c r="A123">
        <v>122</v>
      </c>
      <c r="B123">
        <v>1049</v>
      </c>
      <c r="C123">
        <v>20</v>
      </c>
      <c r="D123">
        <v>2</v>
      </c>
      <c r="E123">
        <v>449</v>
      </c>
      <c r="F123">
        <v>0</v>
      </c>
      <c r="G123">
        <v>898</v>
      </c>
    </row>
    <row r="124" spans="1:7" x14ac:dyDescent="0.3">
      <c r="A124">
        <v>123</v>
      </c>
      <c r="B124">
        <v>1049</v>
      </c>
      <c r="C124">
        <v>4</v>
      </c>
      <c r="D124">
        <v>3</v>
      </c>
      <c r="E124">
        <v>2199</v>
      </c>
      <c r="F124">
        <v>0</v>
      </c>
      <c r="G124">
        <v>6597</v>
      </c>
    </row>
    <row r="125" spans="1:7" x14ac:dyDescent="0.3">
      <c r="A125">
        <v>124</v>
      </c>
      <c r="B125">
        <v>1050</v>
      </c>
      <c r="C125">
        <v>7</v>
      </c>
      <c r="D125">
        <v>2</v>
      </c>
      <c r="E125">
        <v>999</v>
      </c>
      <c r="F125">
        <v>0.05</v>
      </c>
      <c r="G125">
        <v>1898.1</v>
      </c>
    </row>
    <row r="126" spans="1:7" x14ac:dyDescent="0.3">
      <c r="A126">
        <v>125</v>
      </c>
      <c r="B126">
        <v>1050</v>
      </c>
      <c r="C126">
        <v>3</v>
      </c>
      <c r="D126">
        <v>2</v>
      </c>
      <c r="E126">
        <v>1799</v>
      </c>
      <c r="F126">
        <v>0.15</v>
      </c>
      <c r="G126">
        <v>3058.3</v>
      </c>
    </row>
    <row r="127" spans="1:7" x14ac:dyDescent="0.3">
      <c r="A127">
        <v>126</v>
      </c>
      <c r="B127">
        <v>1050</v>
      </c>
      <c r="C127">
        <v>8</v>
      </c>
      <c r="D127">
        <v>2</v>
      </c>
      <c r="E127">
        <v>299</v>
      </c>
      <c r="F127">
        <v>0.15</v>
      </c>
      <c r="G127">
        <v>508.3</v>
      </c>
    </row>
    <row r="128" spans="1:7" x14ac:dyDescent="0.3">
      <c r="A128">
        <v>127</v>
      </c>
      <c r="B128">
        <v>1050</v>
      </c>
      <c r="C128">
        <v>4</v>
      </c>
      <c r="D128">
        <v>2</v>
      </c>
      <c r="E128">
        <v>2199</v>
      </c>
      <c r="F128">
        <v>0.05</v>
      </c>
      <c r="G128">
        <v>4178.1000000000004</v>
      </c>
    </row>
    <row r="129" spans="1:7" x14ac:dyDescent="0.3">
      <c r="A129">
        <v>128</v>
      </c>
      <c r="B129">
        <v>1051</v>
      </c>
      <c r="C129">
        <v>1</v>
      </c>
      <c r="D129">
        <v>1</v>
      </c>
      <c r="E129">
        <v>799</v>
      </c>
      <c r="F129">
        <v>0.05</v>
      </c>
      <c r="G129">
        <v>759.05</v>
      </c>
    </row>
    <row r="130" spans="1:7" x14ac:dyDescent="0.3">
      <c r="A130">
        <v>129</v>
      </c>
      <c r="B130">
        <v>1051</v>
      </c>
      <c r="C130">
        <v>14</v>
      </c>
      <c r="D130">
        <v>1</v>
      </c>
      <c r="E130">
        <v>2499</v>
      </c>
      <c r="F130">
        <v>0.1</v>
      </c>
      <c r="G130">
        <v>2249.1</v>
      </c>
    </row>
    <row r="131" spans="1:7" x14ac:dyDescent="0.3">
      <c r="A131">
        <v>130</v>
      </c>
      <c r="B131">
        <v>1051</v>
      </c>
      <c r="C131">
        <v>16</v>
      </c>
      <c r="D131">
        <v>2</v>
      </c>
      <c r="E131">
        <v>1599</v>
      </c>
      <c r="F131">
        <v>0.1</v>
      </c>
      <c r="G131">
        <v>2878.2</v>
      </c>
    </row>
    <row r="132" spans="1:7" x14ac:dyDescent="0.3">
      <c r="A132">
        <v>131</v>
      </c>
      <c r="B132">
        <v>1052</v>
      </c>
      <c r="C132">
        <v>15</v>
      </c>
      <c r="D132">
        <v>2</v>
      </c>
      <c r="E132">
        <v>349</v>
      </c>
      <c r="F132">
        <v>0</v>
      </c>
      <c r="G132">
        <v>698</v>
      </c>
    </row>
    <row r="133" spans="1:7" x14ac:dyDescent="0.3">
      <c r="A133">
        <v>132</v>
      </c>
      <c r="B133">
        <v>1052</v>
      </c>
      <c r="C133">
        <v>14</v>
      </c>
      <c r="D133">
        <v>1</v>
      </c>
      <c r="E133">
        <v>2499</v>
      </c>
      <c r="F133">
        <v>0.1</v>
      </c>
      <c r="G133">
        <v>2249.1</v>
      </c>
    </row>
    <row r="134" spans="1:7" x14ac:dyDescent="0.3">
      <c r="A134">
        <v>133</v>
      </c>
      <c r="B134">
        <v>1052</v>
      </c>
      <c r="C134">
        <v>9</v>
      </c>
      <c r="D134">
        <v>1</v>
      </c>
      <c r="E134">
        <v>199</v>
      </c>
      <c r="F134">
        <v>0.1</v>
      </c>
      <c r="G134">
        <v>179.1</v>
      </c>
    </row>
    <row r="135" spans="1:7" x14ac:dyDescent="0.3">
      <c r="A135">
        <v>134</v>
      </c>
      <c r="B135">
        <v>1052</v>
      </c>
      <c r="C135">
        <v>11</v>
      </c>
      <c r="D135">
        <v>1</v>
      </c>
      <c r="E135">
        <v>1099</v>
      </c>
      <c r="F135">
        <v>0.2</v>
      </c>
      <c r="G135">
        <v>879.2</v>
      </c>
    </row>
    <row r="136" spans="1:7" x14ac:dyDescent="0.3">
      <c r="A136">
        <v>135</v>
      </c>
      <c r="B136">
        <v>1053</v>
      </c>
      <c r="C136">
        <v>16</v>
      </c>
      <c r="D136">
        <v>1</v>
      </c>
      <c r="E136">
        <v>1599</v>
      </c>
      <c r="F136">
        <v>0.05</v>
      </c>
      <c r="G136">
        <v>1519.05</v>
      </c>
    </row>
    <row r="137" spans="1:7" x14ac:dyDescent="0.3">
      <c r="A137">
        <v>136</v>
      </c>
      <c r="B137">
        <v>1053</v>
      </c>
      <c r="C137">
        <v>7</v>
      </c>
      <c r="D137">
        <v>1</v>
      </c>
      <c r="E137">
        <v>999</v>
      </c>
      <c r="F137">
        <v>0.15</v>
      </c>
      <c r="G137">
        <v>849.15</v>
      </c>
    </row>
    <row r="138" spans="1:7" x14ac:dyDescent="0.3">
      <c r="A138">
        <v>137</v>
      </c>
      <c r="B138">
        <v>1054</v>
      </c>
      <c r="C138">
        <v>8</v>
      </c>
      <c r="D138">
        <v>2</v>
      </c>
      <c r="E138">
        <v>299</v>
      </c>
      <c r="F138">
        <v>0.1</v>
      </c>
      <c r="G138">
        <v>538.20000000000005</v>
      </c>
    </row>
    <row r="139" spans="1:7" x14ac:dyDescent="0.3">
      <c r="A139">
        <v>138</v>
      </c>
      <c r="B139">
        <v>1055</v>
      </c>
      <c r="C139">
        <v>1</v>
      </c>
      <c r="D139">
        <v>1</v>
      </c>
      <c r="E139">
        <v>799</v>
      </c>
      <c r="F139">
        <v>0</v>
      </c>
      <c r="G139">
        <v>799</v>
      </c>
    </row>
    <row r="140" spans="1:7" x14ac:dyDescent="0.3">
      <c r="A140">
        <v>139</v>
      </c>
      <c r="B140">
        <v>1055</v>
      </c>
      <c r="C140">
        <v>3</v>
      </c>
      <c r="D140">
        <v>1</v>
      </c>
      <c r="E140">
        <v>1799</v>
      </c>
      <c r="F140">
        <v>0.15</v>
      </c>
      <c r="G140">
        <v>1529.15</v>
      </c>
    </row>
    <row r="141" spans="1:7" x14ac:dyDescent="0.3">
      <c r="A141">
        <v>140</v>
      </c>
      <c r="B141">
        <v>1055</v>
      </c>
      <c r="C141">
        <v>10</v>
      </c>
      <c r="D141">
        <v>1</v>
      </c>
      <c r="E141">
        <v>599</v>
      </c>
      <c r="F141">
        <v>0.15</v>
      </c>
      <c r="G141">
        <v>509.15</v>
      </c>
    </row>
    <row r="142" spans="1:7" x14ac:dyDescent="0.3">
      <c r="A142">
        <v>141</v>
      </c>
      <c r="B142">
        <v>1055</v>
      </c>
      <c r="C142">
        <v>8</v>
      </c>
      <c r="D142">
        <v>1</v>
      </c>
      <c r="E142">
        <v>299</v>
      </c>
      <c r="F142">
        <v>0.1</v>
      </c>
      <c r="G142">
        <v>269.10000000000002</v>
      </c>
    </row>
    <row r="143" spans="1:7" x14ac:dyDescent="0.3">
      <c r="A143">
        <v>142</v>
      </c>
      <c r="B143">
        <v>1056</v>
      </c>
      <c r="C143">
        <v>10</v>
      </c>
      <c r="D143">
        <v>1</v>
      </c>
      <c r="E143">
        <v>599</v>
      </c>
      <c r="F143">
        <v>0</v>
      </c>
      <c r="G143">
        <v>599</v>
      </c>
    </row>
    <row r="144" spans="1:7" x14ac:dyDescent="0.3">
      <c r="A144">
        <v>143</v>
      </c>
      <c r="B144">
        <v>1056</v>
      </c>
      <c r="C144">
        <v>9</v>
      </c>
      <c r="D144">
        <v>1</v>
      </c>
      <c r="E144">
        <v>199</v>
      </c>
      <c r="F144">
        <v>0.2</v>
      </c>
      <c r="G144">
        <v>159.19999999999999</v>
      </c>
    </row>
    <row r="145" spans="1:7" x14ac:dyDescent="0.3">
      <c r="A145">
        <v>144</v>
      </c>
      <c r="B145">
        <v>1056</v>
      </c>
      <c r="C145">
        <v>8</v>
      </c>
      <c r="D145">
        <v>1</v>
      </c>
      <c r="E145">
        <v>299</v>
      </c>
      <c r="F145">
        <v>0.2</v>
      </c>
      <c r="G145">
        <v>239.2</v>
      </c>
    </row>
    <row r="146" spans="1:7" x14ac:dyDescent="0.3">
      <c r="A146">
        <v>145</v>
      </c>
      <c r="B146">
        <v>1057</v>
      </c>
      <c r="C146">
        <v>19</v>
      </c>
      <c r="D146">
        <v>3</v>
      </c>
      <c r="E146">
        <v>499</v>
      </c>
      <c r="F146">
        <v>0</v>
      </c>
      <c r="G146">
        <v>1497</v>
      </c>
    </row>
    <row r="147" spans="1:7" x14ac:dyDescent="0.3">
      <c r="A147">
        <v>146</v>
      </c>
      <c r="B147">
        <v>1057</v>
      </c>
      <c r="C147">
        <v>17</v>
      </c>
      <c r="D147">
        <v>1</v>
      </c>
      <c r="E147">
        <v>8499</v>
      </c>
      <c r="F147">
        <v>0.05</v>
      </c>
      <c r="G147">
        <v>8074.05</v>
      </c>
    </row>
    <row r="148" spans="1:7" x14ac:dyDescent="0.3">
      <c r="A148">
        <v>147</v>
      </c>
      <c r="B148">
        <v>1057</v>
      </c>
      <c r="C148">
        <v>10</v>
      </c>
      <c r="D148">
        <v>1</v>
      </c>
      <c r="E148">
        <v>599</v>
      </c>
      <c r="F148">
        <v>0</v>
      </c>
      <c r="G148">
        <v>599</v>
      </c>
    </row>
    <row r="149" spans="1:7" x14ac:dyDescent="0.3">
      <c r="A149">
        <v>148</v>
      </c>
      <c r="B149">
        <v>1058</v>
      </c>
      <c r="C149">
        <v>5</v>
      </c>
      <c r="D149">
        <v>2</v>
      </c>
      <c r="E149">
        <v>1299</v>
      </c>
      <c r="F149">
        <v>0.15</v>
      </c>
      <c r="G149">
        <v>2208.3000000000002</v>
      </c>
    </row>
    <row r="150" spans="1:7" x14ac:dyDescent="0.3">
      <c r="A150">
        <v>149</v>
      </c>
      <c r="B150">
        <v>1058</v>
      </c>
      <c r="C150">
        <v>16</v>
      </c>
      <c r="D150">
        <v>1</v>
      </c>
      <c r="E150">
        <v>1599</v>
      </c>
      <c r="F150">
        <v>0.1</v>
      </c>
      <c r="G150">
        <v>1439.1</v>
      </c>
    </row>
    <row r="151" spans="1:7" x14ac:dyDescent="0.3">
      <c r="A151">
        <v>150</v>
      </c>
      <c r="B151">
        <v>1058</v>
      </c>
      <c r="C151">
        <v>4</v>
      </c>
      <c r="D151">
        <v>1</v>
      </c>
      <c r="E151">
        <v>2199</v>
      </c>
      <c r="F151">
        <v>0</v>
      </c>
      <c r="G151">
        <v>2199</v>
      </c>
    </row>
    <row r="152" spans="1:7" x14ac:dyDescent="0.3">
      <c r="A152">
        <v>151</v>
      </c>
      <c r="B152">
        <v>1059</v>
      </c>
      <c r="C152">
        <v>3</v>
      </c>
      <c r="D152">
        <v>1</v>
      </c>
      <c r="E152">
        <v>1799</v>
      </c>
      <c r="F152">
        <v>0</v>
      </c>
      <c r="G152">
        <v>1799</v>
      </c>
    </row>
    <row r="153" spans="1:7" x14ac:dyDescent="0.3">
      <c r="A153">
        <v>152</v>
      </c>
      <c r="B153">
        <v>1060</v>
      </c>
      <c r="C153">
        <v>19</v>
      </c>
      <c r="D153">
        <v>1</v>
      </c>
      <c r="E153">
        <v>499</v>
      </c>
      <c r="F153">
        <v>0</v>
      </c>
      <c r="G153">
        <v>499</v>
      </c>
    </row>
    <row r="154" spans="1:7" x14ac:dyDescent="0.3">
      <c r="A154">
        <v>153</v>
      </c>
      <c r="B154">
        <v>1060</v>
      </c>
      <c r="C154">
        <v>10</v>
      </c>
      <c r="D154">
        <v>1</v>
      </c>
      <c r="E154">
        <v>599</v>
      </c>
      <c r="F154">
        <v>0.1</v>
      </c>
      <c r="G154">
        <v>539.1</v>
      </c>
    </row>
    <row r="155" spans="1:7" x14ac:dyDescent="0.3">
      <c r="A155">
        <v>154</v>
      </c>
      <c r="B155">
        <v>1061</v>
      </c>
      <c r="C155">
        <v>17</v>
      </c>
      <c r="D155">
        <v>1</v>
      </c>
      <c r="E155">
        <v>8499</v>
      </c>
      <c r="F155">
        <v>0.1</v>
      </c>
      <c r="G155">
        <v>7649.1</v>
      </c>
    </row>
    <row r="156" spans="1:7" x14ac:dyDescent="0.3">
      <c r="A156">
        <v>155</v>
      </c>
      <c r="B156">
        <v>1061</v>
      </c>
      <c r="C156">
        <v>13</v>
      </c>
      <c r="D156">
        <v>1</v>
      </c>
      <c r="E156">
        <v>10999</v>
      </c>
      <c r="F156">
        <v>0.15</v>
      </c>
      <c r="G156">
        <v>9349.15</v>
      </c>
    </row>
    <row r="157" spans="1:7" x14ac:dyDescent="0.3">
      <c r="A157">
        <v>156</v>
      </c>
      <c r="B157">
        <v>1062</v>
      </c>
      <c r="C157">
        <v>20</v>
      </c>
      <c r="D157">
        <v>3</v>
      </c>
      <c r="E157">
        <v>449</v>
      </c>
      <c r="F157">
        <v>0</v>
      </c>
      <c r="G157">
        <v>1347</v>
      </c>
    </row>
    <row r="158" spans="1:7" x14ac:dyDescent="0.3">
      <c r="A158">
        <v>157</v>
      </c>
      <c r="B158">
        <v>1063</v>
      </c>
      <c r="C158">
        <v>8</v>
      </c>
      <c r="D158">
        <v>1</v>
      </c>
      <c r="E158">
        <v>299</v>
      </c>
      <c r="F158">
        <v>0</v>
      </c>
      <c r="G158">
        <v>299</v>
      </c>
    </row>
    <row r="159" spans="1:7" x14ac:dyDescent="0.3">
      <c r="A159">
        <v>158</v>
      </c>
      <c r="B159">
        <v>1063</v>
      </c>
      <c r="C159">
        <v>6</v>
      </c>
      <c r="D159">
        <v>1</v>
      </c>
      <c r="E159">
        <v>1899</v>
      </c>
      <c r="F159">
        <v>0.1</v>
      </c>
      <c r="G159">
        <v>1709.1</v>
      </c>
    </row>
    <row r="160" spans="1:7" x14ac:dyDescent="0.3">
      <c r="A160">
        <v>159</v>
      </c>
      <c r="B160">
        <v>1064</v>
      </c>
      <c r="C160">
        <v>10</v>
      </c>
      <c r="D160">
        <v>2</v>
      </c>
      <c r="E160">
        <v>599</v>
      </c>
      <c r="F160">
        <v>0.05</v>
      </c>
      <c r="G160">
        <v>1138.0999999999999</v>
      </c>
    </row>
    <row r="161" spans="1:7" x14ac:dyDescent="0.3">
      <c r="A161">
        <v>160</v>
      </c>
      <c r="B161">
        <v>1064</v>
      </c>
      <c r="C161">
        <v>15</v>
      </c>
      <c r="D161">
        <v>2</v>
      </c>
      <c r="E161">
        <v>349</v>
      </c>
      <c r="F161">
        <v>0.2</v>
      </c>
      <c r="G161">
        <v>558.4</v>
      </c>
    </row>
    <row r="162" spans="1:7" x14ac:dyDescent="0.3">
      <c r="A162">
        <v>161</v>
      </c>
      <c r="B162">
        <v>1064</v>
      </c>
      <c r="C162">
        <v>3</v>
      </c>
      <c r="D162">
        <v>1</v>
      </c>
      <c r="E162">
        <v>1799</v>
      </c>
      <c r="F162">
        <v>0</v>
      </c>
      <c r="G162">
        <v>1799</v>
      </c>
    </row>
    <row r="163" spans="1:7" x14ac:dyDescent="0.3">
      <c r="A163">
        <v>162</v>
      </c>
      <c r="B163">
        <v>1065</v>
      </c>
      <c r="C163">
        <v>9</v>
      </c>
      <c r="D163">
        <v>1</v>
      </c>
      <c r="E163">
        <v>199</v>
      </c>
      <c r="F163">
        <v>0</v>
      </c>
      <c r="G163">
        <v>199</v>
      </c>
    </row>
    <row r="164" spans="1:7" x14ac:dyDescent="0.3">
      <c r="A164">
        <v>163</v>
      </c>
      <c r="B164">
        <v>1065</v>
      </c>
      <c r="C164">
        <v>5</v>
      </c>
      <c r="D164">
        <v>2</v>
      </c>
      <c r="E164">
        <v>1299</v>
      </c>
      <c r="F164">
        <v>0.15</v>
      </c>
      <c r="G164">
        <v>2208.3000000000002</v>
      </c>
    </row>
    <row r="165" spans="1:7" x14ac:dyDescent="0.3">
      <c r="A165">
        <v>164</v>
      </c>
      <c r="B165">
        <v>1066</v>
      </c>
      <c r="C165">
        <v>13</v>
      </c>
      <c r="D165">
        <v>1</v>
      </c>
      <c r="E165">
        <v>10999</v>
      </c>
      <c r="F165">
        <v>0.1</v>
      </c>
      <c r="G165">
        <v>9899.1</v>
      </c>
    </row>
    <row r="166" spans="1:7" x14ac:dyDescent="0.3">
      <c r="A166">
        <v>165</v>
      </c>
      <c r="B166">
        <v>1066</v>
      </c>
      <c r="C166">
        <v>9</v>
      </c>
      <c r="D166">
        <v>1</v>
      </c>
      <c r="E166">
        <v>199</v>
      </c>
      <c r="F166">
        <v>0</v>
      </c>
      <c r="G166">
        <v>199</v>
      </c>
    </row>
    <row r="167" spans="1:7" x14ac:dyDescent="0.3">
      <c r="A167">
        <v>166</v>
      </c>
      <c r="B167">
        <v>1066</v>
      </c>
      <c r="C167">
        <v>17</v>
      </c>
      <c r="D167">
        <v>2</v>
      </c>
      <c r="E167">
        <v>8499</v>
      </c>
      <c r="F167">
        <v>0.2</v>
      </c>
      <c r="G167">
        <v>13598.4</v>
      </c>
    </row>
    <row r="168" spans="1:7" x14ac:dyDescent="0.3">
      <c r="A168">
        <v>167</v>
      </c>
      <c r="B168">
        <v>1067</v>
      </c>
      <c r="C168">
        <v>19</v>
      </c>
      <c r="D168">
        <v>3</v>
      </c>
      <c r="E168">
        <v>499</v>
      </c>
      <c r="F168">
        <v>0.2</v>
      </c>
      <c r="G168">
        <v>1197.5999999999999</v>
      </c>
    </row>
    <row r="169" spans="1:7" x14ac:dyDescent="0.3">
      <c r="A169">
        <v>168</v>
      </c>
      <c r="B169">
        <v>1067</v>
      </c>
      <c r="C169">
        <v>20</v>
      </c>
      <c r="D169">
        <v>2</v>
      </c>
      <c r="E169">
        <v>449</v>
      </c>
      <c r="F169">
        <v>0.15</v>
      </c>
      <c r="G169">
        <v>763.3</v>
      </c>
    </row>
    <row r="170" spans="1:7" x14ac:dyDescent="0.3">
      <c r="A170">
        <v>169</v>
      </c>
      <c r="B170">
        <v>1068</v>
      </c>
      <c r="C170">
        <v>6</v>
      </c>
      <c r="D170">
        <v>1</v>
      </c>
      <c r="E170">
        <v>1899</v>
      </c>
      <c r="F170">
        <v>0.1</v>
      </c>
      <c r="G170">
        <v>1709.1</v>
      </c>
    </row>
    <row r="171" spans="1:7" x14ac:dyDescent="0.3">
      <c r="A171">
        <v>170</v>
      </c>
      <c r="B171">
        <v>1068</v>
      </c>
      <c r="C171">
        <v>19</v>
      </c>
      <c r="D171">
        <v>3</v>
      </c>
      <c r="E171">
        <v>499</v>
      </c>
      <c r="F171">
        <v>0.1</v>
      </c>
      <c r="G171">
        <v>1347.3</v>
      </c>
    </row>
    <row r="172" spans="1:7" x14ac:dyDescent="0.3">
      <c r="A172">
        <v>171</v>
      </c>
      <c r="B172">
        <v>1068</v>
      </c>
      <c r="C172">
        <v>14</v>
      </c>
      <c r="D172">
        <v>1</v>
      </c>
      <c r="E172">
        <v>2499</v>
      </c>
      <c r="F172">
        <v>0.05</v>
      </c>
      <c r="G172">
        <v>2374.0500000000002</v>
      </c>
    </row>
    <row r="173" spans="1:7" x14ac:dyDescent="0.3">
      <c r="A173">
        <v>172</v>
      </c>
      <c r="B173">
        <v>1069</v>
      </c>
      <c r="C173">
        <v>14</v>
      </c>
      <c r="D173">
        <v>2</v>
      </c>
      <c r="E173">
        <v>2499</v>
      </c>
      <c r="F173">
        <v>0.1</v>
      </c>
      <c r="G173">
        <v>4498.2</v>
      </c>
    </row>
    <row r="174" spans="1:7" x14ac:dyDescent="0.3">
      <c r="A174">
        <v>173</v>
      </c>
      <c r="B174">
        <v>1069</v>
      </c>
      <c r="C174">
        <v>16</v>
      </c>
      <c r="D174">
        <v>2</v>
      </c>
      <c r="E174">
        <v>1599</v>
      </c>
      <c r="F174">
        <v>0.15</v>
      </c>
      <c r="G174">
        <v>2718.3</v>
      </c>
    </row>
    <row r="175" spans="1:7" x14ac:dyDescent="0.3">
      <c r="A175">
        <v>174</v>
      </c>
      <c r="B175">
        <v>1069</v>
      </c>
      <c r="C175">
        <v>10</v>
      </c>
      <c r="D175">
        <v>1</v>
      </c>
      <c r="E175">
        <v>599</v>
      </c>
      <c r="F175">
        <v>0</v>
      </c>
      <c r="G175">
        <v>599</v>
      </c>
    </row>
    <row r="176" spans="1:7" x14ac:dyDescent="0.3">
      <c r="A176">
        <v>175</v>
      </c>
      <c r="B176">
        <v>1070</v>
      </c>
      <c r="C176">
        <v>18</v>
      </c>
      <c r="D176">
        <v>1</v>
      </c>
      <c r="E176">
        <v>3299</v>
      </c>
      <c r="F176">
        <v>0</v>
      </c>
      <c r="G176">
        <v>3299</v>
      </c>
    </row>
    <row r="177" spans="1:7" x14ac:dyDescent="0.3">
      <c r="A177">
        <v>176</v>
      </c>
      <c r="B177">
        <v>1071</v>
      </c>
      <c r="C177">
        <v>2</v>
      </c>
      <c r="D177">
        <v>2</v>
      </c>
      <c r="E177">
        <v>2499</v>
      </c>
      <c r="F177">
        <v>0.1</v>
      </c>
      <c r="G177">
        <v>4498.2</v>
      </c>
    </row>
    <row r="178" spans="1:7" x14ac:dyDescent="0.3">
      <c r="A178">
        <v>177</v>
      </c>
      <c r="B178">
        <v>1071</v>
      </c>
      <c r="C178">
        <v>7</v>
      </c>
      <c r="D178">
        <v>2</v>
      </c>
      <c r="E178">
        <v>999</v>
      </c>
      <c r="F178">
        <v>0.1</v>
      </c>
      <c r="G178">
        <v>1798.2</v>
      </c>
    </row>
    <row r="179" spans="1:7" x14ac:dyDescent="0.3">
      <c r="A179">
        <v>178</v>
      </c>
      <c r="B179">
        <v>1071</v>
      </c>
      <c r="C179">
        <v>9</v>
      </c>
      <c r="D179">
        <v>1</v>
      </c>
      <c r="E179">
        <v>199</v>
      </c>
      <c r="F179">
        <v>0.2</v>
      </c>
      <c r="G179">
        <v>159.19999999999999</v>
      </c>
    </row>
    <row r="180" spans="1:7" x14ac:dyDescent="0.3">
      <c r="A180">
        <v>179</v>
      </c>
      <c r="B180">
        <v>1071</v>
      </c>
      <c r="C180">
        <v>5</v>
      </c>
      <c r="D180">
        <v>1</v>
      </c>
      <c r="E180">
        <v>1299</v>
      </c>
      <c r="F180">
        <v>0</v>
      </c>
      <c r="G180">
        <v>1299</v>
      </c>
    </row>
    <row r="181" spans="1:7" x14ac:dyDescent="0.3">
      <c r="A181">
        <v>180</v>
      </c>
      <c r="B181">
        <v>1072</v>
      </c>
      <c r="C181">
        <v>3</v>
      </c>
      <c r="D181">
        <v>3</v>
      </c>
      <c r="E181">
        <v>1799</v>
      </c>
      <c r="F181">
        <v>0.2</v>
      </c>
      <c r="G181">
        <v>4317.6000000000004</v>
      </c>
    </row>
    <row r="182" spans="1:7" x14ac:dyDescent="0.3">
      <c r="A182">
        <v>181</v>
      </c>
      <c r="B182">
        <v>1072</v>
      </c>
      <c r="C182">
        <v>8</v>
      </c>
      <c r="D182">
        <v>2</v>
      </c>
      <c r="E182">
        <v>299</v>
      </c>
      <c r="F182">
        <v>0.1</v>
      </c>
      <c r="G182">
        <v>538.20000000000005</v>
      </c>
    </row>
    <row r="183" spans="1:7" x14ac:dyDescent="0.3">
      <c r="A183">
        <v>182</v>
      </c>
      <c r="B183">
        <v>1072</v>
      </c>
      <c r="C183">
        <v>4</v>
      </c>
      <c r="D183">
        <v>3</v>
      </c>
      <c r="E183">
        <v>2199</v>
      </c>
      <c r="F183">
        <v>0.05</v>
      </c>
      <c r="G183">
        <v>6267.15</v>
      </c>
    </row>
    <row r="184" spans="1:7" x14ac:dyDescent="0.3">
      <c r="A184">
        <v>183</v>
      </c>
      <c r="B184">
        <v>1072</v>
      </c>
      <c r="C184">
        <v>15</v>
      </c>
      <c r="D184">
        <v>1</v>
      </c>
      <c r="E184">
        <v>349</v>
      </c>
      <c r="F184">
        <v>0.05</v>
      </c>
      <c r="G184">
        <v>331.55</v>
      </c>
    </row>
    <row r="185" spans="1:7" x14ac:dyDescent="0.3">
      <c r="A185">
        <v>184</v>
      </c>
      <c r="B185">
        <v>1073</v>
      </c>
      <c r="C185">
        <v>13</v>
      </c>
      <c r="D185">
        <v>2</v>
      </c>
      <c r="E185">
        <v>10999</v>
      </c>
      <c r="F185">
        <v>0.15</v>
      </c>
      <c r="G185">
        <v>18698.3</v>
      </c>
    </row>
    <row r="186" spans="1:7" x14ac:dyDescent="0.3">
      <c r="A186">
        <v>185</v>
      </c>
      <c r="B186">
        <v>1073</v>
      </c>
      <c r="C186">
        <v>7</v>
      </c>
      <c r="D186">
        <v>2</v>
      </c>
      <c r="E186">
        <v>999</v>
      </c>
      <c r="F186">
        <v>0</v>
      </c>
      <c r="G186">
        <v>1998</v>
      </c>
    </row>
    <row r="187" spans="1:7" x14ac:dyDescent="0.3">
      <c r="A187">
        <v>186</v>
      </c>
      <c r="B187">
        <v>1074</v>
      </c>
      <c r="C187">
        <v>17</v>
      </c>
      <c r="D187">
        <v>1</v>
      </c>
      <c r="E187">
        <v>8499</v>
      </c>
      <c r="F187">
        <v>0.05</v>
      </c>
      <c r="G187">
        <v>8074.05</v>
      </c>
    </row>
    <row r="188" spans="1:7" x14ac:dyDescent="0.3">
      <c r="A188">
        <v>187</v>
      </c>
      <c r="B188">
        <v>1074</v>
      </c>
      <c r="C188">
        <v>9</v>
      </c>
      <c r="D188">
        <v>2</v>
      </c>
      <c r="E188">
        <v>199</v>
      </c>
      <c r="F188">
        <v>0.15</v>
      </c>
      <c r="G188">
        <v>338.3</v>
      </c>
    </row>
    <row r="189" spans="1:7" x14ac:dyDescent="0.3">
      <c r="A189">
        <v>188</v>
      </c>
      <c r="B189">
        <v>1074</v>
      </c>
      <c r="C189">
        <v>1</v>
      </c>
      <c r="D189">
        <v>3</v>
      </c>
      <c r="E189">
        <v>799</v>
      </c>
      <c r="F189">
        <v>0.1</v>
      </c>
      <c r="G189">
        <v>2157.3000000000002</v>
      </c>
    </row>
    <row r="190" spans="1:7" x14ac:dyDescent="0.3">
      <c r="A190">
        <v>189</v>
      </c>
      <c r="B190">
        <v>1075</v>
      </c>
      <c r="C190">
        <v>11</v>
      </c>
      <c r="D190">
        <v>1</v>
      </c>
      <c r="E190">
        <v>1099</v>
      </c>
      <c r="F190">
        <v>0.05</v>
      </c>
      <c r="G190">
        <v>1044.05</v>
      </c>
    </row>
    <row r="191" spans="1:7" x14ac:dyDescent="0.3">
      <c r="A191">
        <v>190</v>
      </c>
      <c r="B191">
        <v>1075</v>
      </c>
      <c r="C191">
        <v>18</v>
      </c>
      <c r="D191">
        <v>2</v>
      </c>
      <c r="E191">
        <v>3299</v>
      </c>
      <c r="F191">
        <v>0.2</v>
      </c>
      <c r="G191">
        <v>5278.4</v>
      </c>
    </row>
    <row r="192" spans="1:7" x14ac:dyDescent="0.3">
      <c r="A192">
        <v>191</v>
      </c>
      <c r="B192">
        <v>1075</v>
      </c>
      <c r="C192">
        <v>19</v>
      </c>
      <c r="D192">
        <v>1</v>
      </c>
      <c r="E192">
        <v>499</v>
      </c>
      <c r="F192">
        <v>0.1</v>
      </c>
      <c r="G192">
        <v>449.1</v>
      </c>
    </row>
    <row r="193" spans="1:7" x14ac:dyDescent="0.3">
      <c r="A193">
        <v>192</v>
      </c>
      <c r="B193">
        <v>1076</v>
      </c>
      <c r="C193">
        <v>13</v>
      </c>
      <c r="D193">
        <v>1</v>
      </c>
      <c r="E193">
        <v>10999</v>
      </c>
      <c r="F193">
        <v>0.15</v>
      </c>
      <c r="G193">
        <v>9349.15</v>
      </c>
    </row>
    <row r="194" spans="1:7" x14ac:dyDescent="0.3">
      <c r="A194">
        <v>193</v>
      </c>
      <c r="B194">
        <v>1076</v>
      </c>
      <c r="C194">
        <v>5</v>
      </c>
      <c r="D194">
        <v>1</v>
      </c>
      <c r="E194">
        <v>1299</v>
      </c>
      <c r="F194">
        <v>0</v>
      </c>
      <c r="G194">
        <v>1299</v>
      </c>
    </row>
    <row r="195" spans="1:7" x14ac:dyDescent="0.3">
      <c r="A195">
        <v>194</v>
      </c>
      <c r="B195">
        <v>1076</v>
      </c>
      <c r="C195">
        <v>16</v>
      </c>
      <c r="D195">
        <v>2</v>
      </c>
      <c r="E195">
        <v>1599</v>
      </c>
      <c r="F195">
        <v>0.1</v>
      </c>
      <c r="G195">
        <v>2878.2</v>
      </c>
    </row>
    <row r="196" spans="1:7" x14ac:dyDescent="0.3">
      <c r="A196">
        <v>195</v>
      </c>
      <c r="B196">
        <v>1076</v>
      </c>
      <c r="C196">
        <v>2</v>
      </c>
      <c r="D196">
        <v>1</v>
      </c>
      <c r="E196">
        <v>2499</v>
      </c>
      <c r="F196">
        <v>0.1</v>
      </c>
      <c r="G196">
        <v>2249.1</v>
      </c>
    </row>
    <row r="197" spans="1:7" x14ac:dyDescent="0.3">
      <c r="A197">
        <v>196</v>
      </c>
      <c r="B197">
        <v>1077</v>
      </c>
      <c r="C197">
        <v>16</v>
      </c>
      <c r="D197">
        <v>2</v>
      </c>
      <c r="E197">
        <v>1599</v>
      </c>
      <c r="F197">
        <v>0.05</v>
      </c>
      <c r="G197">
        <v>3038.1</v>
      </c>
    </row>
    <row r="198" spans="1:7" x14ac:dyDescent="0.3">
      <c r="A198">
        <v>197</v>
      </c>
      <c r="B198">
        <v>1078</v>
      </c>
      <c r="C198">
        <v>18</v>
      </c>
      <c r="D198">
        <v>1</v>
      </c>
      <c r="E198">
        <v>3299</v>
      </c>
      <c r="F198">
        <v>0.1</v>
      </c>
      <c r="G198">
        <v>2969.1</v>
      </c>
    </row>
    <row r="199" spans="1:7" x14ac:dyDescent="0.3">
      <c r="A199">
        <v>198</v>
      </c>
      <c r="B199">
        <v>1078</v>
      </c>
      <c r="C199">
        <v>13</v>
      </c>
      <c r="D199">
        <v>2</v>
      </c>
      <c r="E199">
        <v>10999</v>
      </c>
      <c r="F199">
        <v>0</v>
      </c>
      <c r="G199">
        <v>21998</v>
      </c>
    </row>
    <row r="200" spans="1:7" x14ac:dyDescent="0.3">
      <c r="A200">
        <v>199</v>
      </c>
      <c r="B200">
        <v>1078</v>
      </c>
      <c r="C200">
        <v>11</v>
      </c>
      <c r="D200">
        <v>1</v>
      </c>
      <c r="E200">
        <v>1099</v>
      </c>
      <c r="F200">
        <v>0</v>
      </c>
      <c r="G200">
        <v>1099</v>
      </c>
    </row>
    <row r="201" spans="1:7" x14ac:dyDescent="0.3">
      <c r="A201">
        <v>200</v>
      </c>
      <c r="B201">
        <v>1079</v>
      </c>
      <c r="C201">
        <v>4</v>
      </c>
      <c r="D201">
        <v>1</v>
      </c>
      <c r="E201">
        <v>2199</v>
      </c>
      <c r="F201">
        <v>0.2</v>
      </c>
      <c r="G201">
        <v>1759.2</v>
      </c>
    </row>
    <row r="202" spans="1:7" x14ac:dyDescent="0.3">
      <c r="A202">
        <v>201</v>
      </c>
      <c r="B202">
        <v>1080</v>
      </c>
      <c r="C202">
        <v>12</v>
      </c>
      <c r="D202">
        <v>1</v>
      </c>
      <c r="E202">
        <v>399</v>
      </c>
      <c r="F202">
        <v>0.15</v>
      </c>
      <c r="G202">
        <v>339.15</v>
      </c>
    </row>
    <row r="203" spans="1:7" x14ac:dyDescent="0.3">
      <c r="A203">
        <v>202</v>
      </c>
      <c r="B203">
        <v>1080</v>
      </c>
      <c r="C203">
        <v>20</v>
      </c>
      <c r="D203">
        <v>1</v>
      </c>
      <c r="E203">
        <v>449</v>
      </c>
      <c r="F203">
        <v>0.2</v>
      </c>
      <c r="G203">
        <v>359.2</v>
      </c>
    </row>
    <row r="204" spans="1:7" x14ac:dyDescent="0.3">
      <c r="A204">
        <v>203</v>
      </c>
      <c r="B204">
        <v>1080</v>
      </c>
      <c r="C204">
        <v>14</v>
      </c>
      <c r="D204">
        <v>2</v>
      </c>
      <c r="E204">
        <v>2499</v>
      </c>
      <c r="F204">
        <v>0</v>
      </c>
      <c r="G204">
        <v>4998</v>
      </c>
    </row>
    <row r="205" spans="1:7" x14ac:dyDescent="0.3">
      <c r="A205">
        <v>204</v>
      </c>
      <c r="B205">
        <v>1081</v>
      </c>
      <c r="C205">
        <v>16</v>
      </c>
      <c r="D205">
        <v>1</v>
      </c>
      <c r="E205">
        <v>1599</v>
      </c>
      <c r="F205">
        <v>0.1</v>
      </c>
      <c r="G205">
        <v>1439.1</v>
      </c>
    </row>
    <row r="206" spans="1:7" x14ac:dyDescent="0.3">
      <c r="A206">
        <v>205</v>
      </c>
      <c r="B206">
        <v>1081</v>
      </c>
      <c r="C206">
        <v>19</v>
      </c>
      <c r="D206">
        <v>1</v>
      </c>
      <c r="E206">
        <v>499</v>
      </c>
      <c r="F206">
        <v>0.1</v>
      </c>
      <c r="G206">
        <v>449.1</v>
      </c>
    </row>
    <row r="207" spans="1:7" x14ac:dyDescent="0.3">
      <c r="A207">
        <v>206</v>
      </c>
      <c r="B207">
        <v>1082</v>
      </c>
      <c r="C207">
        <v>18</v>
      </c>
      <c r="D207">
        <v>1</v>
      </c>
      <c r="E207">
        <v>3299</v>
      </c>
      <c r="F207">
        <v>0.05</v>
      </c>
      <c r="G207">
        <v>3134.05</v>
      </c>
    </row>
    <row r="208" spans="1:7" x14ac:dyDescent="0.3">
      <c r="A208">
        <v>207</v>
      </c>
      <c r="B208">
        <v>1082</v>
      </c>
      <c r="C208">
        <v>6</v>
      </c>
      <c r="D208">
        <v>3</v>
      </c>
      <c r="E208">
        <v>1899</v>
      </c>
      <c r="F208">
        <v>0.05</v>
      </c>
      <c r="G208">
        <v>5412.15</v>
      </c>
    </row>
    <row r="209" spans="1:7" x14ac:dyDescent="0.3">
      <c r="A209">
        <v>208</v>
      </c>
      <c r="B209">
        <v>1082</v>
      </c>
      <c r="C209">
        <v>3</v>
      </c>
      <c r="D209">
        <v>1</v>
      </c>
      <c r="E209">
        <v>1799</v>
      </c>
      <c r="F209">
        <v>0.1</v>
      </c>
      <c r="G209">
        <v>1619.1</v>
      </c>
    </row>
    <row r="210" spans="1:7" x14ac:dyDescent="0.3">
      <c r="A210">
        <v>209</v>
      </c>
      <c r="B210">
        <v>1083</v>
      </c>
      <c r="C210">
        <v>13</v>
      </c>
      <c r="D210">
        <v>1</v>
      </c>
      <c r="E210">
        <v>10999</v>
      </c>
      <c r="F210">
        <v>0.1</v>
      </c>
      <c r="G210">
        <v>9899.1</v>
      </c>
    </row>
    <row r="211" spans="1:7" x14ac:dyDescent="0.3">
      <c r="A211">
        <v>210</v>
      </c>
      <c r="B211">
        <v>1083</v>
      </c>
      <c r="C211">
        <v>16</v>
      </c>
      <c r="D211">
        <v>1</v>
      </c>
      <c r="E211">
        <v>1599</v>
      </c>
      <c r="F211">
        <v>0.15</v>
      </c>
      <c r="G211">
        <v>1359.15</v>
      </c>
    </row>
    <row r="212" spans="1:7" x14ac:dyDescent="0.3">
      <c r="A212">
        <v>211</v>
      </c>
      <c r="B212">
        <v>1084</v>
      </c>
      <c r="C212">
        <v>1</v>
      </c>
      <c r="D212">
        <v>2</v>
      </c>
      <c r="E212">
        <v>799</v>
      </c>
      <c r="F212">
        <v>0.2</v>
      </c>
      <c r="G212">
        <v>1278.4000000000001</v>
      </c>
    </row>
    <row r="213" spans="1:7" x14ac:dyDescent="0.3">
      <c r="A213">
        <v>212</v>
      </c>
      <c r="B213">
        <v>1084</v>
      </c>
      <c r="C213">
        <v>19</v>
      </c>
      <c r="D213">
        <v>1</v>
      </c>
      <c r="E213">
        <v>499</v>
      </c>
      <c r="F213">
        <v>0.05</v>
      </c>
      <c r="G213">
        <v>474.05</v>
      </c>
    </row>
    <row r="214" spans="1:7" x14ac:dyDescent="0.3">
      <c r="A214">
        <v>213</v>
      </c>
      <c r="B214">
        <v>1084</v>
      </c>
      <c r="C214">
        <v>2</v>
      </c>
      <c r="D214">
        <v>2</v>
      </c>
      <c r="E214">
        <v>2499</v>
      </c>
      <c r="F214">
        <v>0</v>
      </c>
      <c r="G214">
        <v>4998</v>
      </c>
    </row>
    <row r="215" spans="1:7" x14ac:dyDescent="0.3">
      <c r="A215">
        <v>214</v>
      </c>
      <c r="B215">
        <v>1085</v>
      </c>
      <c r="C215">
        <v>5</v>
      </c>
      <c r="D215">
        <v>1</v>
      </c>
      <c r="E215">
        <v>1299</v>
      </c>
      <c r="F215">
        <v>0.1</v>
      </c>
      <c r="G215">
        <v>1169.0999999999999</v>
      </c>
    </row>
    <row r="216" spans="1:7" x14ac:dyDescent="0.3">
      <c r="A216">
        <v>215</v>
      </c>
      <c r="B216">
        <v>1085</v>
      </c>
      <c r="C216">
        <v>4</v>
      </c>
      <c r="D216">
        <v>1</v>
      </c>
      <c r="E216">
        <v>2199</v>
      </c>
      <c r="F216">
        <v>0.05</v>
      </c>
      <c r="G216">
        <v>2089.0500000000002</v>
      </c>
    </row>
    <row r="217" spans="1:7" x14ac:dyDescent="0.3">
      <c r="A217">
        <v>216</v>
      </c>
      <c r="B217">
        <v>1085</v>
      </c>
      <c r="C217">
        <v>2</v>
      </c>
      <c r="D217">
        <v>2</v>
      </c>
      <c r="E217">
        <v>2499</v>
      </c>
      <c r="F217">
        <v>0</v>
      </c>
      <c r="G217">
        <v>4998</v>
      </c>
    </row>
    <row r="218" spans="1:7" x14ac:dyDescent="0.3">
      <c r="A218">
        <v>217</v>
      </c>
      <c r="B218">
        <v>1086</v>
      </c>
      <c r="C218">
        <v>5</v>
      </c>
      <c r="D218">
        <v>2</v>
      </c>
      <c r="E218">
        <v>1299</v>
      </c>
      <c r="F218">
        <v>0.05</v>
      </c>
      <c r="G218">
        <v>2468.1</v>
      </c>
    </row>
    <row r="219" spans="1:7" x14ac:dyDescent="0.3">
      <c r="A219">
        <v>218</v>
      </c>
      <c r="B219">
        <v>1086</v>
      </c>
      <c r="C219">
        <v>18</v>
      </c>
      <c r="D219">
        <v>1</v>
      </c>
      <c r="E219">
        <v>3299</v>
      </c>
      <c r="F219">
        <v>0.05</v>
      </c>
      <c r="G219">
        <v>3134.05</v>
      </c>
    </row>
    <row r="220" spans="1:7" x14ac:dyDescent="0.3">
      <c r="A220">
        <v>219</v>
      </c>
      <c r="B220">
        <v>1087</v>
      </c>
      <c r="C220">
        <v>11</v>
      </c>
      <c r="D220">
        <v>3</v>
      </c>
      <c r="E220">
        <v>1099</v>
      </c>
      <c r="F220">
        <v>0</v>
      </c>
      <c r="G220">
        <v>3297</v>
      </c>
    </row>
    <row r="221" spans="1:7" x14ac:dyDescent="0.3">
      <c r="A221">
        <v>220</v>
      </c>
      <c r="B221">
        <v>1087</v>
      </c>
      <c r="C221">
        <v>4</v>
      </c>
      <c r="D221">
        <v>2</v>
      </c>
      <c r="E221">
        <v>2199</v>
      </c>
      <c r="F221">
        <v>0</v>
      </c>
      <c r="G221">
        <v>4398</v>
      </c>
    </row>
    <row r="222" spans="1:7" x14ac:dyDescent="0.3">
      <c r="A222">
        <v>221</v>
      </c>
      <c r="B222">
        <v>1087</v>
      </c>
      <c r="C222">
        <v>15</v>
      </c>
      <c r="D222">
        <v>2</v>
      </c>
      <c r="E222">
        <v>349</v>
      </c>
      <c r="F222">
        <v>0.2</v>
      </c>
      <c r="G222">
        <v>558.4</v>
      </c>
    </row>
    <row r="223" spans="1:7" x14ac:dyDescent="0.3">
      <c r="A223">
        <v>222</v>
      </c>
      <c r="B223">
        <v>1088</v>
      </c>
      <c r="C223">
        <v>9</v>
      </c>
      <c r="D223">
        <v>1</v>
      </c>
      <c r="E223">
        <v>199</v>
      </c>
      <c r="F223">
        <v>0.1</v>
      </c>
      <c r="G223">
        <v>179.1</v>
      </c>
    </row>
    <row r="224" spans="1:7" x14ac:dyDescent="0.3">
      <c r="A224">
        <v>223</v>
      </c>
      <c r="B224">
        <v>1089</v>
      </c>
      <c r="C224">
        <v>12</v>
      </c>
      <c r="D224">
        <v>1</v>
      </c>
      <c r="E224">
        <v>399</v>
      </c>
      <c r="F224">
        <v>0.15</v>
      </c>
      <c r="G224">
        <v>339.15</v>
      </c>
    </row>
    <row r="225" spans="1:7" x14ac:dyDescent="0.3">
      <c r="A225">
        <v>224</v>
      </c>
      <c r="B225">
        <v>1089</v>
      </c>
      <c r="C225">
        <v>4</v>
      </c>
      <c r="D225">
        <v>1</v>
      </c>
      <c r="E225">
        <v>2199</v>
      </c>
      <c r="F225">
        <v>0.15</v>
      </c>
      <c r="G225">
        <v>1869.15</v>
      </c>
    </row>
    <row r="226" spans="1:7" x14ac:dyDescent="0.3">
      <c r="A226">
        <v>225</v>
      </c>
      <c r="B226">
        <v>1089</v>
      </c>
      <c r="C226">
        <v>8</v>
      </c>
      <c r="D226">
        <v>1</v>
      </c>
      <c r="E226">
        <v>299</v>
      </c>
      <c r="F226">
        <v>0</v>
      </c>
      <c r="G226">
        <v>299</v>
      </c>
    </row>
    <row r="227" spans="1:7" x14ac:dyDescent="0.3">
      <c r="A227">
        <v>226</v>
      </c>
      <c r="B227">
        <v>1089</v>
      </c>
      <c r="C227">
        <v>16</v>
      </c>
      <c r="D227">
        <v>1</v>
      </c>
      <c r="E227">
        <v>1599</v>
      </c>
      <c r="F227">
        <v>0.1</v>
      </c>
      <c r="G227">
        <v>1439.1</v>
      </c>
    </row>
    <row r="228" spans="1:7" x14ac:dyDescent="0.3">
      <c r="A228">
        <v>227</v>
      </c>
      <c r="B228">
        <v>1090</v>
      </c>
      <c r="C228">
        <v>2</v>
      </c>
      <c r="D228">
        <v>1</v>
      </c>
      <c r="E228">
        <v>2499</v>
      </c>
      <c r="F228">
        <v>0.1</v>
      </c>
      <c r="G228">
        <v>2249.1</v>
      </c>
    </row>
    <row r="229" spans="1:7" x14ac:dyDescent="0.3">
      <c r="A229">
        <v>228</v>
      </c>
      <c r="B229">
        <v>1091</v>
      </c>
      <c r="C229">
        <v>15</v>
      </c>
      <c r="D229">
        <v>1</v>
      </c>
      <c r="E229">
        <v>349</v>
      </c>
      <c r="F229">
        <v>0.2</v>
      </c>
      <c r="G229">
        <v>279.2</v>
      </c>
    </row>
    <row r="230" spans="1:7" x14ac:dyDescent="0.3">
      <c r="A230">
        <v>229</v>
      </c>
      <c r="B230">
        <v>1091</v>
      </c>
      <c r="C230">
        <v>12</v>
      </c>
      <c r="D230">
        <v>1</v>
      </c>
      <c r="E230">
        <v>399</v>
      </c>
      <c r="F230">
        <v>0.1</v>
      </c>
      <c r="G230">
        <v>359.1</v>
      </c>
    </row>
    <row r="231" spans="1:7" x14ac:dyDescent="0.3">
      <c r="A231">
        <v>230</v>
      </c>
      <c r="B231">
        <v>1091</v>
      </c>
      <c r="C231">
        <v>18</v>
      </c>
      <c r="D231">
        <v>2</v>
      </c>
      <c r="E231">
        <v>3299</v>
      </c>
      <c r="F231">
        <v>0.1</v>
      </c>
      <c r="G231">
        <v>5938.2</v>
      </c>
    </row>
    <row r="232" spans="1:7" x14ac:dyDescent="0.3">
      <c r="A232">
        <v>231</v>
      </c>
      <c r="B232">
        <v>1091</v>
      </c>
      <c r="C232">
        <v>14</v>
      </c>
      <c r="D232">
        <v>1</v>
      </c>
      <c r="E232">
        <v>2499</v>
      </c>
      <c r="F232">
        <v>0.05</v>
      </c>
      <c r="G232">
        <v>2374.0500000000002</v>
      </c>
    </row>
    <row r="233" spans="1:7" x14ac:dyDescent="0.3">
      <c r="A233">
        <v>232</v>
      </c>
      <c r="B233">
        <v>1092</v>
      </c>
      <c r="C233">
        <v>8</v>
      </c>
      <c r="D233">
        <v>1</v>
      </c>
      <c r="E233">
        <v>299</v>
      </c>
      <c r="F233">
        <v>0.2</v>
      </c>
      <c r="G233">
        <v>239.2</v>
      </c>
    </row>
    <row r="234" spans="1:7" x14ac:dyDescent="0.3">
      <c r="A234">
        <v>233</v>
      </c>
      <c r="B234">
        <v>1092</v>
      </c>
      <c r="C234">
        <v>12</v>
      </c>
      <c r="D234">
        <v>1</v>
      </c>
      <c r="E234">
        <v>399</v>
      </c>
      <c r="F234">
        <v>0.1</v>
      </c>
      <c r="G234">
        <v>359.1</v>
      </c>
    </row>
    <row r="235" spans="1:7" x14ac:dyDescent="0.3">
      <c r="A235">
        <v>234</v>
      </c>
      <c r="B235">
        <v>1092</v>
      </c>
      <c r="C235">
        <v>4</v>
      </c>
      <c r="D235">
        <v>1</v>
      </c>
      <c r="E235">
        <v>2199</v>
      </c>
      <c r="F235">
        <v>0</v>
      </c>
      <c r="G235">
        <v>2199</v>
      </c>
    </row>
    <row r="236" spans="1:7" x14ac:dyDescent="0.3">
      <c r="A236">
        <v>235</v>
      </c>
      <c r="B236">
        <v>1092</v>
      </c>
      <c r="C236">
        <v>19</v>
      </c>
      <c r="D236">
        <v>3</v>
      </c>
      <c r="E236">
        <v>499</v>
      </c>
      <c r="F236">
        <v>0.1</v>
      </c>
      <c r="G236">
        <v>1347.3</v>
      </c>
    </row>
    <row r="237" spans="1:7" x14ac:dyDescent="0.3">
      <c r="A237">
        <v>236</v>
      </c>
      <c r="B237">
        <v>1093</v>
      </c>
      <c r="C237">
        <v>2</v>
      </c>
      <c r="D237">
        <v>2</v>
      </c>
      <c r="E237">
        <v>2499</v>
      </c>
      <c r="F237">
        <v>0</v>
      </c>
      <c r="G237">
        <v>4998</v>
      </c>
    </row>
    <row r="238" spans="1:7" x14ac:dyDescent="0.3">
      <c r="A238">
        <v>237</v>
      </c>
      <c r="B238">
        <v>1094</v>
      </c>
      <c r="C238">
        <v>19</v>
      </c>
      <c r="D238">
        <v>2</v>
      </c>
      <c r="E238">
        <v>499</v>
      </c>
      <c r="F238">
        <v>0</v>
      </c>
      <c r="G238">
        <v>998</v>
      </c>
    </row>
    <row r="239" spans="1:7" x14ac:dyDescent="0.3">
      <c r="A239">
        <v>238</v>
      </c>
      <c r="B239">
        <v>1094</v>
      </c>
      <c r="C239">
        <v>7</v>
      </c>
      <c r="D239">
        <v>1</v>
      </c>
      <c r="E239">
        <v>999</v>
      </c>
      <c r="F239">
        <v>0</v>
      </c>
      <c r="G239">
        <v>999</v>
      </c>
    </row>
    <row r="240" spans="1:7" x14ac:dyDescent="0.3">
      <c r="A240">
        <v>239</v>
      </c>
      <c r="B240">
        <v>1095</v>
      </c>
      <c r="C240">
        <v>18</v>
      </c>
      <c r="D240">
        <v>2</v>
      </c>
      <c r="E240">
        <v>3299</v>
      </c>
      <c r="F240">
        <v>0</v>
      </c>
      <c r="G240">
        <v>6598</v>
      </c>
    </row>
    <row r="241" spans="1:7" x14ac:dyDescent="0.3">
      <c r="A241">
        <v>240</v>
      </c>
      <c r="B241">
        <v>1095</v>
      </c>
      <c r="C241">
        <v>9</v>
      </c>
      <c r="D241">
        <v>2</v>
      </c>
      <c r="E241">
        <v>199</v>
      </c>
      <c r="F241">
        <v>0</v>
      </c>
      <c r="G241">
        <v>398</v>
      </c>
    </row>
    <row r="242" spans="1:7" x14ac:dyDescent="0.3">
      <c r="A242">
        <v>241</v>
      </c>
      <c r="B242">
        <v>1096</v>
      </c>
      <c r="C242">
        <v>1</v>
      </c>
      <c r="D242">
        <v>1</v>
      </c>
      <c r="E242">
        <v>799</v>
      </c>
      <c r="F242">
        <v>0.2</v>
      </c>
      <c r="G242">
        <v>639.20000000000005</v>
      </c>
    </row>
    <row r="243" spans="1:7" x14ac:dyDescent="0.3">
      <c r="A243">
        <v>242</v>
      </c>
      <c r="B243">
        <v>1096</v>
      </c>
      <c r="C243">
        <v>6</v>
      </c>
      <c r="D243">
        <v>1</v>
      </c>
      <c r="E243">
        <v>1899</v>
      </c>
      <c r="F243">
        <v>0</v>
      </c>
      <c r="G243">
        <v>1899</v>
      </c>
    </row>
    <row r="244" spans="1:7" x14ac:dyDescent="0.3">
      <c r="A244">
        <v>243</v>
      </c>
      <c r="B244">
        <v>1096</v>
      </c>
      <c r="C244">
        <v>9</v>
      </c>
      <c r="D244">
        <v>2</v>
      </c>
      <c r="E244">
        <v>199</v>
      </c>
      <c r="F244">
        <v>0.1</v>
      </c>
      <c r="G244">
        <v>358.2</v>
      </c>
    </row>
    <row r="245" spans="1:7" x14ac:dyDescent="0.3">
      <c r="A245">
        <v>244</v>
      </c>
      <c r="B245">
        <v>1097</v>
      </c>
      <c r="C245">
        <v>15</v>
      </c>
      <c r="D245">
        <v>1</v>
      </c>
      <c r="E245">
        <v>349</v>
      </c>
      <c r="F245">
        <v>0.15</v>
      </c>
      <c r="G245">
        <v>296.64999999999998</v>
      </c>
    </row>
    <row r="246" spans="1:7" x14ac:dyDescent="0.3">
      <c r="A246">
        <v>245</v>
      </c>
      <c r="B246">
        <v>1098</v>
      </c>
      <c r="C246">
        <v>1</v>
      </c>
      <c r="D246">
        <v>1</v>
      </c>
      <c r="E246">
        <v>799</v>
      </c>
      <c r="F246">
        <v>0</v>
      </c>
      <c r="G246">
        <v>799</v>
      </c>
    </row>
    <row r="247" spans="1:7" x14ac:dyDescent="0.3">
      <c r="A247">
        <v>246</v>
      </c>
      <c r="B247">
        <v>1098</v>
      </c>
      <c r="C247">
        <v>2</v>
      </c>
      <c r="D247">
        <v>1</v>
      </c>
      <c r="E247">
        <v>2499</v>
      </c>
      <c r="F247">
        <v>0.1</v>
      </c>
      <c r="G247">
        <v>2249.1</v>
      </c>
    </row>
    <row r="248" spans="1:7" x14ac:dyDescent="0.3">
      <c r="A248">
        <v>247</v>
      </c>
      <c r="B248">
        <v>1098</v>
      </c>
      <c r="C248">
        <v>16</v>
      </c>
      <c r="D248">
        <v>1</v>
      </c>
      <c r="E248">
        <v>1599</v>
      </c>
      <c r="F248">
        <v>0</v>
      </c>
      <c r="G248">
        <v>1599</v>
      </c>
    </row>
    <row r="249" spans="1:7" x14ac:dyDescent="0.3">
      <c r="A249">
        <v>248</v>
      </c>
      <c r="B249">
        <v>1098</v>
      </c>
      <c r="C249">
        <v>13</v>
      </c>
      <c r="D249">
        <v>1</v>
      </c>
      <c r="E249">
        <v>10999</v>
      </c>
      <c r="F249">
        <v>0</v>
      </c>
      <c r="G249">
        <v>10999</v>
      </c>
    </row>
    <row r="250" spans="1:7" x14ac:dyDescent="0.3">
      <c r="A250">
        <v>249</v>
      </c>
      <c r="B250">
        <v>1099</v>
      </c>
      <c r="C250">
        <v>13</v>
      </c>
      <c r="D250">
        <v>1</v>
      </c>
      <c r="E250">
        <v>10999</v>
      </c>
      <c r="F250">
        <v>0.15</v>
      </c>
      <c r="G250">
        <v>9349.15</v>
      </c>
    </row>
    <row r="251" spans="1:7" x14ac:dyDescent="0.3">
      <c r="A251">
        <v>250</v>
      </c>
      <c r="B251">
        <v>1099</v>
      </c>
      <c r="C251">
        <v>17</v>
      </c>
      <c r="D251">
        <v>1</v>
      </c>
      <c r="E251">
        <v>8499</v>
      </c>
      <c r="F251">
        <v>0.2</v>
      </c>
      <c r="G251">
        <v>6799.2</v>
      </c>
    </row>
    <row r="252" spans="1:7" x14ac:dyDescent="0.3">
      <c r="A252">
        <v>251</v>
      </c>
      <c r="B252">
        <v>1099</v>
      </c>
      <c r="C252">
        <v>10</v>
      </c>
      <c r="D252">
        <v>1</v>
      </c>
      <c r="E252">
        <v>599</v>
      </c>
      <c r="F252">
        <v>0.2</v>
      </c>
      <c r="G252">
        <v>479.2</v>
      </c>
    </row>
    <row r="253" spans="1:7" x14ac:dyDescent="0.3">
      <c r="A253">
        <v>252</v>
      </c>
      <c r="B253">
        <v>1100</v>
      </c>
      <c r="C253">
        <v>11</v>
      </c>
      <c r="D253">
        <v>2</v>
      </c>
      <c r="E253">
        <v>1099</v>
      </c>
      <c r="F253">
        <v>0.05</v>
      </c>
      <c r="G253">
        <v>2088.1</v>
      </c>
    </row>
    <row r="254" spans="1:7" x14ac:dyDescent="0.3">
      <c r="A254">
        <v>253</v>
      </c>
      <c r="B254">
        <v>1100</v>
      </c>
      <c r="C254">
        <v>15</v>
      </c>
      <c r="D254">
        <v>1</v>
      </c>
      <c r="E254">
        <v>349</v>
      </c>
      <c r="F254">
        <v>0.2</v>
      </c>
      <c r="G254">
        <v>279.2</v>
      </c>
    </row>
    <row r="255" spans="1:7" x14ac:dyDescent="0.3">
      <c r="A255">
        <v>254</v>
      </c>
      <c r="B255">
        <v>1100</v>
      </c>
      <c r="C255">
        <v>13</v>
      </c>
      <c r="D255">
        <v>1</v>
      </c>
      <c r="E255">
        <v>10999</v>
      </c>
      <c r="F255">
        <v>0</v>
      </c>
      <c r="G255">
        <v>10999</v>
      </c>
    </row>
    <row r="256" spans="1:7" x14ac:dyDescent="0.3">
      <c r="A256">
        <v>255</v>
      </c>
      <c r="B256">
        <v>1100</v>
      </c>
      <c r="C256">
        <v>14</v>
      </c>
      <c r="D256">
        <v>2</v>
      </c>
      <c r="E256">
        <v>2499</v>
      </c>
      <c r="F256">
        <v>0.1</v>
      </c>
      <c r="G256">
        <v>4498.2</v>
      </c>
    </row>
    <row r="257" spans="1:7" x14ac:dyDescent="0.3">
      <c r="A257">
        <v>256</v>
      </c>
      <c r="B257">
        <v>1101</v>
      </c>
      <c r="C257">
        <v>14</v>
      </c>
      <c r="D257">
        <v>1</v>
      </c>
      <c r="E257">
        <v>2499</v>
      </c>
      <c r="F257">
        <v>0.2</v>
      </c>
      <c r="G257">
        <v>1999.2</v>
      </c>
    </row>
    <row r="258" spans="1:7" x14ac:dyDescent="0.3">
      <c r="A258">
        <v>257</v>
      </c>
      <c r="B258">
        <v>1102</v>
      </c>
      <c r="C258">
        <v>4</v>
      </c>
      <c r="D258">
        <v>2</v>
      </c>
      <c r="E258">
        <v>2199</v>
      </c>
      <c r="F258">
        <v>0.1</v>
      </c>
      <c r="G258">
        <v>3958.2</v>
      </c>
    </row>
    <row r="259" spans="1:7" x14ac:dyDescent="0.3">
      <c r="A259">
        <v>258</v>
      </c>
      <c r="B259">
        <v>1102</v>
      </c>
      <c r="C259">
        <v>14</v>
      </c>
      <c r="D259">
        <v>2</v>
      </c>
      <c r="E259">
        <v>2499</v>
      </c>
      <c r="F259">
        <v>0.2</v>
      </c>
      <c r="G259">
        <v>3998.4</v>
      </c>
    </row>
    <row r="260" spans="1:7" x14ac:dyDescent="0.3">
      <c r="A260">
        <v>259</v>
      </c>
      <c r="B260">
        <v>1102</v>
      </c>
      <c r="C260">
        <v>12</v>
      </c>
      <c r="D260">
        <v>1</v>
      </c>
      <c r="E260">
        <v>399</v>
      </c>
      <c r="F260">
        <v>0.05</v>
      </c>
      <c r="G260">
        <v>379.05</v>
      </c>
    </row>
    <row r="261" spans="1:7" x14ac:dyDescent="0.3">
      <c r="A261">
        <v>260</v>
      </c>
      <c r="B261">
        <v>1103</v>
      </c>
      <c r="C261">
        <v>5</v>
      </c>
      <c r="D261">
        <v>1</v>
      </c>
      <c r="E261">
        <v>1299</v>
      </c>
      <c r="F261">
        <v>0</v>
      </c>
      <c r="G261">
        <v>1299</v>
      </c>
    </row>
    <row r="262" spans="1:7" x14ac:dyDescent="0.3">
      <c r="A262">
        <v>261</v>
      </c>
      <c r="B262">
        <v>1103</v>
      </c>
      <c r="C262">
        <v>16</v>
      </c>
      <c r="D262">
        <v>1</v>
      </c>
      <c r="E262">
        <v>1599</v>
      </c>
      <c r="F262">
        <v>0.15</v>
      </c>
      <c r="G262">
        <v>1359.15</v>
      </c>
    </row>
    <row r="263" spans="1:7" x14ac:dyDescent="0.3">
      <c r="A263">
        <v>262</v>
      </c>
      <c r="B263">
        <v>1104</v>
      </c>
      <c r="C263">
        <v>14</v>
      </c>
      <c r="D263">
        <v>3</v>
      </c>
      <c r="E263">
        <v>2499</v>
      </c>
      <c r="F263">
        <v>0.15</v>
      </c>
      <c r="G263">
        <v>6372.45</v>
      </c>
    </row>
    <row r="264" spans="1:7" x14ac:dyDescent="0.3">
      <c r="A264">
        <v>263</v>
      </c>
      <c r="B264">
        <v>1104</v>
      </c>
      <c r="C264">
        <v>18</v>
      </c>
      <c r="D264">
        <v>1</v>
      </c>
      <c r="E264">
        <v>3299</v>
      </c>
      <c r="F264">
        <v>0.2</v>
      </c>
      <c r="G264">
        <v>2639.2</v>
      </c>
    </row>
    <row r="265" spans="1:7" x14ac:dyDescent="0.3">
      <c r="A265">
        <v>264</v>
      </c>
      <c r="B265">
        <v>1105</v>
      </c>
      <c r="C265">
        <v>6</v>
      </c>
      <c r="D265">
        <v>1</v>
      </c>
      <c r="E265">
        <v>1899</v>
      </c>
      <c r="F265">
        <v>0.05</v>
      </c>
      <c r="G265">
        <v>1804.05</v>
      </c>
    </row>
    <row r="266" spans="1:7" x14ac:dyDescent="0.3">
      <c r="A266">
        <v>265</v>
      </c>
      <c r="B266">
        <v>1106</v>
      </c>
      <c r="C266">
        <v>3</v>
      </c>
      <c r="D266">
        <v>2</v>
      </c>
      <c r="E266">
        <v>1799</v>
      </c>
      <c r="F266">
        <v>0</v>
      </c>
      <c r="G266">
        <v>3598</v>
      </c>
    </row>
    <row r="267" spans="1:7" x14ac:dyDescent="0.3">
      <c r="A267">
        <v>266</v>
      </c>
      <c r="B267">
        <v>1106</v>
      </c>
      <c r="C267">
        <v>5</v>
      </c>
      <c r="D267">
        <v>1</v>
      </c>
      <c r="E267">
        <v>1299</v>
      </c>
      <c r="F267">
        <v>0.1</v>
      </c>
      <c r="G267">
        <v>1169.0999999999999</v>
      </c>
    </row>
    <row r="268" spans="1:7" x14ac:dyDescent="0.3">
      <c r="A268">
        <v>267</v>
      </c>
      <c r="B268">
        <v>1106</v>
      </c>
      <c r="C268">
        <v>1</v>
      </c>
      <c r="D268">
        <v>1</v>
      </c>
      <c r="E268">
        <v>799</v>
      </c>
      <c r="F268">
        <v>0.05</v>
      </c>
      <c r="G268">
        <v>759.05</v>
      </c>
    </row>
    <row r="269" spans="1:7" x14ac:dyDescent="0.3">
      <c r="A269">
        <v>268</v>
      </c>
      <c r="B269">
        <v>1106</v>
      </c>
      <c r="C269">
        <v>20</v>
      </c>
      <c r="D269">
        <v>1</v>
      </c>
      <c r="E269">
        <v>449</v>
      </c>
      <c r="F269">
        <v>0.05</v>
      </c>
      <c r="G269">
        <v>426.55</v>
      </c>
    </row>
    <row r="270" spans="1:7" x14ac:dyDescent="0.3">
      <c r="A270">
        <v>269</v>
      </c>
      <c r="B270">
        <v>1107</v>
      </c>
      <c r="C270">
        <v>20</v>
      </c>
      <c r="D270">
        <v>2</v>
      </c>
      <c r="E270">
        <v>449</v>
      </c>
      <c r="F270">
        <v>0.05</v>
      </c>
      <c r="G270">
        <v>853.1</v>
      </c>
    </row>
    <row r="271" spans="1:7" x14ac:dyDescent="0.3">
      <c r="A271">
        <v>270</v>
      </c>
      <c r="B271">
        <v>1107</v>
      </c>
      <c r="C271">
        <v>2</v>
      </c>
      <c r="D271">
        <v>1</v>
      </c>
      <c r="E271">
        <v>2499</v>
      </c>
      <c r="F271">
        <v>0.1</v>
      </c>
      <c r="G271">
        <v>2249.1</v>
      </c>
    </row>
    <row r="272" spans="1:7" x14ac:dyDescent="0.3">
      <c r="A272">
        <v>271</v>
      </c>
      <c r="B272">
        <v>1108</v>
      </c>
      <c r="C272">
        <v>17</v>
      </c>
      <c r="D272">
        <v>1</v>
      </c>
      <c r="E272">
        <v>8499</v>
      </c>
      <c r="F272">
        <v>0</v>
      </c>
      <c r="G272">
        <v>8499</v>
      </c>
    </row>
    <row r="273" spans="1:7" x14ac:dyDescent="0.3">
      <c r="A273">
        <v>272</v>
      </c>
      <c r="B273">
        <v>1108</v>
      </c>
      <c r="C273">
        <v>4</v>
      </c>
      <c r="D273">
        <v>1</v>
      </c>
      <c r="E273">
        <v>2199</v>
      </c>
      <c r="F273">
        <v>0.2</v>
      </c>
      <c r="G273">
        <v>1759.2</v>
      </c>
    </row>
    <row r="274" spans="1:7" x14ac:dyDescent="0.3">
      <c r="A274">
        <v>273</v>
      </c>
      <c r="B274">
        <v>1109</v>
      </c>
      <c r="C274">
        <v>8</v>
      </c>
      <c r="D274">
        <v>1</v>
      </c>
      <c r="E274">
        <v>299</v>
      </c>
      <c r="F274">
        <v>0.15</v>
      </c>
      <c r="G274">
        <v>254.15</v>
      </c>
    </row>
    <row r="275" spans="1:7" x14ac:dyDescent="0.3">
      <c r="A275">
        <v>274</v>
      </c>
      <c r="B275">
        <v>1110</v>
      </c>
      <c r="C275">
        <v>9</v>
      </c>
      <c r="D275">
        <v>1</v>
      </c>
      <c r="E275">
        <v>199</v>
      </c>
      <c r="F275">
        <v>0</v>
      </c>
      <c r="G275">
        <v>199</v>
      </c>
    </row>
    <row r="276" spans="1:7" x14ac:dyDescent="0.3">
      <c r="A276">
        <v>275</v>
      </c>
      <c r="B276">
        <v>1110</v>
      </c>
      <c r="C276">
        <v>10</v>
      </c>
      <c r="D276">
        <v>1</v>
      </c>
      <c r="E276">
        <v>599</v>
      </c>
      <c r="F276">
        <v>0.1</v>
      </c>
      <c r="G276">
        <v>539.1</v>
      </c>
    </row>
    <row r="277" spans="1:7" x14ac:dyDescent="0.3">
      <c r="A277">
        <v>276</v>
      </c>
      <c r="B277">
        <v>1111</v>
      </c>
      <c r="C277">
        <v>3</v>
      </c>
      <c r="D277">
        <v>1</v>
      </c>
      <c r="E277">
        <v>1799</v>
      </c>
      <c r="F277">
        <v>0.1</v>
      </c>
      <c r="G277">
        <v>1619.1</v>
      </c>
    </row>
    <row r="278" spans="1:7" x14ac:dyDescent="0.3">
      <c r="A278">
        <v>277</v>
      </c>
      <c r="B278">
        <v>1111</v>
      </c>
      <c r="C278">
        <v>13</v>
      </c>
      <c r="D278">
        <v>2</v>
      </c>
      <c r="E278">
        <v>10999</v>
      </c>
      <c r="F278">
        <v>0.05</v>
      </c>
      <c r="G278">
        <v>20898.099999999999</v>
      </c>
    </row>
    <row r="279" spans="1:7" x14ac:dyDescent="0.3">
      <c r="A279">
        <v>278</v>
      </c>
      <c r="B279">
        <v>1111</v>
      </c>
      <c r="C279">
        <v>2</v>
      </c>
      <c r="D279">
        <v>1</v>
      </c>
      <c r="E279">
        <v>2499</v>
      </c>
      <c r="F279">
        <v>0.15</v>
      </c>
      <c r="G279">
        <v>2124.15</v>
      </c>
    </row>
    <row r="280" spans="1:7" x14ac:dyDescent="0.3">
      <c r="A280">
        <v>279</v>
      </c>
      <c r="B280">
        <v>1112</v>
      </c>
      <c r="C280">
        <v>13</v>
      </c>
      <c r="D280">
        <v>1</v>
      </c>
      <c r="E280">
        <v>10999</v>
      </c>
      <c r="F280">
        <v>0.05</v>
      </c>
      <c r="G280">
        <v>10449.049999999999</v>
      </c>
    </row>
    <row r="281" spans="1:7" x14ac:dyDescent="0.3">
      <c r="A281">
        <v>280</v>
      </c>
      <c r="B281">
        <v>1113</v>
      </c>
      <c r="C281">
        <v>14</v>
      </c>
      <c r="D281">
        <v>2</v>
      </c>
      <c r="E281">
        <v>2499</v>
      </c>
      <c r="F281">
        <v>0</v>
      </c>
      <c r="G281">
        <v>4998</v>
      </c>
    </row>
    <row r="282" spans="1:7" x14ac:dyDescent="0.3">
      <c r="A282">
        <v>281</v>
      </c>
      <c r="B282">
        <v>1114</v>
      </c>
      <c r="C282">
        <v>10</v>
      </c>
      <c r="D282">
        <v>2</v>
      </c>
      <c r="E282">
        <v>599</v>
      </c>
      <c r="F282">
        <v>0</v>
      </c>
      <c r="G282">
        <v>1198</v>
      </c>
    </row>
    <row r="283" spans="1:7" x14ac:dyDescent="0.3">
      <c r="A283">
        <v>282</v>
      </c>
      <c r="B283">
        <v>1114</v>
      </c>
      <c r="C283">
        <v>11</v>
      </c>
      <c r="D283">
        <v>1</v>
      </c>
      <c r="E283">
        <v>1099</v>
      </c>
      <c r="F283">
        <v>0</v>
      </c>
      <c r="G283">
        <v>1099</v>
      </c>
    </row>
    <row r="284" spans="1:7" x14ac:dyDescent="0.3">
      <c r="A284">
        <v>283</v>
      </c>
      <c r="B284">
        <v>1114</v>
      </c>
      <c r="C284">
        <v>8</v>
      </c>
      <c r="D284">
        <v>1</v>
      </c>
      <c r="E284">
        <v>299</v>
      </c>
      <c r="F284">
        <v>0</v>
      </c>
      <c r="G284">
        <v>299</v>
      </c>
    </row>
    <row r="285" spans="1:7" x14ac:dyDescent="0.3">
      <c r="A285">
        <v>284</v>
      </c>
      <c r="B285">
        <v>1114</v>
      </c>
      <c r="C285">
        <v>19</v>
      </c>
      <c r="D285">
        <v>2</v>
      </c>
      <c r="E285">
        <v>499</v>
      </c>
      <c r="F285">
        <v>0.05</v>
      </c>
      <c r="G285">
        <v>948.1</v>
      </c>
    </row>
    <row r="286" spans="1:7" x14ac:dyDescent="0.3">
      <c r="A286">
        <v>285</v>
      </c>
      <c r="B286">
        <v>1115</v>
      </c>
      <c r="C286">
        <v>4</v>
      </c>
      <c r="D286">
        <v>1</v>
      </c>
      <c r="E286">
        <v>2199</v>
      </c>
      <c r="F286">
        <v>0</v>
      </c>
      <c r="G286">
        <v>2199</v>
      </c>
    </row>
    <row r="287" spans="1:7" x14ac:dyDescent="0.3">
      <c r="A287">
        <v>286</v>
      </c>
      <c r="B287">
        <v>1115</v>
      </c>
      <c r="C287">
        <v>5</v>
      </c>
      <c r="D287">
        <v>1</v>
      </c>
      <c r="E287">
        <v>1299</v>
      </c>
      <c r="F287">
        <v>0.2</v>
      </c>
      <c r="G287">
        <v>1039.2</v>
      </c>
    </row>
    <row r="288" spans="1:7" x14ac:dyDescent="0.3">
      <c r="A288">
        <v>287</v>
      </c>
      <c r="B288">
        <v>1116</v>
      </c>
      <c r="C288">
        <v>19</v>
      </c>
      <c r="D288">
        <v>2</v>
      </c>
      <c r="E288">
        <v>499</v>
      </c>
      <c r="F288">
        <v>0.2</v>
      </c>
      <c r="G288">
        <v>798.4</v>
      </c>
    </row>
    <row r="289" spans="1:7" x14ac:dyDescent="0.3">
      <c r="A289">
        <v>288</v>
      </c>
      <c r="B289">
        <v>1116</v>
      </c>
      <c r="C289">
        <v>20</v>
      </c>
      <c r="D289">
        <v>1</v>
      </c>
      <c r="E289">
        <v>449</v>
      </c>
      <c r="F289">
        <v>0.1</v>
      </c>
      <c r="G289">
        <v>404.1</v>
      </c>
    </row>
    <row r="290" spans="1:7" x14ac:dyDescent="0.3">
      <c r="A290">
        <v>289</v>
      </c>
      <c r="B290">
        <v>1116</v>
      </c>
      <c r="C290">
        <v>15</v>
      </c>
      <c r="D290">
        <v>1</v>
      </c>
      <c r="E290">
        <v>349</v>
      </c>
      <c r="F290">
        <v>0.1</v>
      </c>
      <c r="G290">
        <v>314.10000000000002</v>
      </c>
    </row>
    <row r="291" spans="1:7" x14ac:dyDescent="0.3">
      <c r="A291">
        <v>290</v>
      </c>
      <c r="B291">
        <v>1116</v>
      </c>
      <c r="C291">
        <v>11</v>
      </c>
      <c r="D291">
        <v>1</v>
      </c>
      <c r="E291">
        <v>1099</v>
      </c>
      <c r="F291">
        <v>0.05</v>
      </c>
      <c r="G291">
        <v>1044.05</v>
      </c>
    </row>
    <row r="292" spans="1:7" x14ac:dyDescent="0.3">
      <c r="A292">
        <v>291</v>
      </c>
      <c r="B292">
        <v>1117</v>
      </c>
      <c r="C292">
        <v>15</v>
      </c>
      <c r="D292">
        <v>1</v>
      </c>
      <c r="E292">
        <v>349</v>
      </c>
      <c r="F292">
        <v>0.05</v>
      </c>
      <c r="G292">
        <v>331.55</v>
      </c>
    </row>
    <row r="293" spans="1:7" x14ac:dyDescent="0.3">
      <c r="A293">
        <v>292</v>
      </c>
      <c r="B293">
        <v>1117</v>
      </c>
      <c r="C293">
        <v>20</v>
      </c>
      <c r="D293">
        <v>1</v>
      </c>
      <c r="E293">
        <v>449</v>
      </c>
      <c r="F293">
        <v>0</v>
      </c>
      <c r="G293">
        <v>449</v>
      </c>
    </row>
    <row r="294" spans="1:7" x14ac:dyDescent="0.3">
      <c r="A294">
        <v>293</v>
      </c>
      <c r="B294">
        <v>1117</v>
      </c>
      <c r="C294">
        <v>2</v>
      </c>
      <c r="D294">
        <v>1</v>
      </c>
      <c r="E294">
        <v>2499</v>
      </c>
      <c r="F294">
        <v>0.15</v>
      </c>
      <c r="G294">
        <v>2124.15</v>
      </c>
    </row>
    <row r="295" spans="1:7" x14ac:dyDescent="0.3">
      <c r="A295">
        <v>294</v>
      </c>
      <c r="B295">
        <v>1118</v>
      </c>
      <c r="C295">
        <v>15</v>
      </c>
      <c r="D295">
        <v>2</v>
      </c>
      <c r="E295">
        <v>349</v>
      </c>
      <c r="F295">
        <v>0.15</v>
      </c>
      <c r="G295">
        <v>593.29999999999995</v>
      </c>
    </row>
    <row r="296" spans="1:7" x14ac:dyDescent="0.3">
      <c r="A296">
        <v>295</v>
      </c>
      <c r="B296">
        <v>1119</v>
      </c>
      <c r="C296">
        <v>2</v>
      </c>
      <c r="D296">
        <v>1</v>
      </c>
      <c r="E296">
        <v>2499</v>
      </c>
      <c r="F296">
        <v>0.05</v>
      </c>
      <c r="G296">
        <v>2374.0500000000002</v>
      </c>
    </row>
    <row r="297" spans="1:7" x14ac:dyDescent="0.3">
      <c r="A297">
        <v>296</v>
      </c>
      <c r="B297">
        <v>1119</v>
      </c>
      <c r="C297">
        <v>15</v>
      </c>
      <c r="D297">
        <v>3</v>
      </c>
      <c r="E297">
        <v>349</v>
      </c>
      <c r="F297">
        <v>0</v>
      </c>
      <c r="G297">
        <v>1047</v>
      </c>
    </row>
    <row r="298" spans="1:7" x14ac:dyDescent="0.3">
      <c r="A298">
        <v>297</v>
      </c>
      <c r="B298">
        <v>1120</v>
      </c>
      <c r="C298">
        <v>15</v>
      </c>
      <c r="D298">
        <v>1</v>
      </c>
      <c r="E298">
        <v>349</v>
      </c>
      <c r="F298">
        <v>0.05</v>
      </c>
      <c r="G298">
        <v>331.55</v>
      </c>
    </row>
    <row r="299" spans="1:7" x14ac:dyDescent="0.3">
      <c r="A299">
        <v>298</v>
      </c>
      <c r="B299">
        <v>1120</v>
      </c>
      <c r="C299">
        <v>17</v>
      </c>
      <c r="D299">
        <v>1</v>
      </c>
      <c r="E299">
        <v>8499</v>
      </c>
      <c r="F299">
        <v>0.05</v>
      </c>
      <c r="G299">
        <v>8074.05</v>
      </c>
    </row>
    <row r="300" spans="1:7" x14ac:dyDescent="0.3">
      <c r="A300">
        <v>299</v>
      </c>
      <c r="B300">
        <v>1120</v>
      </c>
      <c r="C300">
        <v>19</v>
      </c>
      <c r="D300">
        <v>2</v>
      </c>
      <c r="E300">
        <v>499</v>
      </c>
      <c r="F300">
        <v>0</v>
      </c>
      <c r="G300">
        <v>998</v>
      </c>
    </row>
    <row r="301" spans="1:7" x14ac:dyDescent="0.3">
      <c r="A301">
        <v>300</v>
      </c>
      <c r="B301">
        <v>1120</v>
      </c>
      <c r="C301">
        <v>6</v>
      </c>
      <c r="D301">
        <v>2</v>
      </c>
      <c r="E301">
        <v>1899</v>
      </c>
      <c r="F301">
        <v>0.2</v>
      </c>
      <c r="G301">
        <v>3038.4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A288-D056-470D-9CA4-A202A3F8FEA4}">
  <dimension ref="A1:F121"/>
  <sheetViews>
    <sheetView topLeftCell="A2" workbookViewId="0">
      <selection activeCell="C18" sqref="A2:F121"/>
    </sheetView>
  </sheetViews>
  <sheetFormatPr defaultRowHeight="14.4" x14ac:dyDescent="0.3"/>
  <cols>
    <col min="1" max="1" width="10.33203125" bestFit="1" customWidth="1"/>
    <col min="2" max="2" width="13.6640625" bestFit="1" customWidth="1"/>
    <col min="3" max="3" width="15.44140625" bestFit="1" customWidth="1"/>
    <col min="4" max="4" width="13.77734375" bestFit="1" customWidth="1"/>
    <col min="5" max="5" width="18.5546875" bestFit="1" customWidth="1"/>
    <col min="6" max="6" width="15.33203125" bestFit="1" customWidth="1"/>
  </cols>
  <sheetData>
    <row r="1" spans="1:6" x14ac:dyDescent="0.3">
      <c r="A1" s="7" t="s">
        <v>31</v>
      </c>
      <c r="B1" s="7" t="s">
        <v>36</v>
      </c>
      <c r="C1" s="7" t="s">
        <v>37</v>
      </c>
      <c r="D1" s="7" t="s">
        <v>38</v>
      </c>
      <c r="E1" s="7" t="s">
        <v>39</v>
      </c>
      <c r="F1" s="7" t="s">
        <v>40</v>
      </c>
    </row>
    <row r="2" spans="1:6" x14ac:dyDescent="0.3">
      <c r="A2" s="3">
        <v>1001</v>
      </c>
      <c r="B2" s="3">
        <v>28</v>
      </c>
      <c r="C2" s="4">
        <v>45832</v>
      </c>
      <c r="D2" s="3" t="s">
        <v>41</v>
      </c>
      <c r="E2" s="3" t="s">
        <v>42</v>
      </c>
      <c r="F2" s="3">
        <v>2</v>
      </c>
    </row>
    <row r="3" spans="1:6" x14ac:dyDescent="0.3">
      <c r="A3" s="5">
        <v>1002</v>
      </c>
      <c r="B3" s="5">
        <v>8</v>
      </c>
      <c r="C3" s="6">
        <v>45851</v>
      </c>
      <c r="D3" s="5" t="s">
        <v>41</v>
      </c>
      <c r="E3" s="5" t="s">
        <v>43</v>
      </c>
      <c r="F3" s="5">
        <v>5</v>
      </c>
    </row>
    <row r="4" spans="1:6" x14ac:dyDescent="0.3">
      <c r="A4" s="3">
        <v>1003</v>
      </c>
      <c r="B4" s="3">
        <v>25</v>
      </c>
      <c r="C4" s="4">
        <v>45800</v>
      </c>
      <c r="D4" s="3" t="s">
        <v>41</v>
      </c>
      <c r="E4" s="3" t="s">
        <v>43</v>
      </c>
      <c r="F4" s="3">
        <v>6</v>
      </c>
    </row>
    <row r="5" spans="1:6" x14ac:dyDescent="0.3">
      <c r="A5" s="5">
        <v>1004</v>
      </c>
      <c r="B5" s="5">
        <v>5</v>
      </c>
      <c r="C5" s="6">
        <v>45969</v>
      </c>
      <c r="D5" s="5" t="s">
        <v>44</v>
      </c>
      <c r="E5" s="5" t="s">
        <v>45</v>
      </c>
      <c r="F5" s="5">
        <v>2</v>
      </c>
    </row>
    <row r="6" spans="1:6" x14ac:dyDescent="0.3">
      <c r="A6" s="3">
        <v>1005</v>
      </c>
      <c r="B6" s="3">
        <v>21</v>
      </c>
      <c r="C6" s="4">
        <v>45686</v>
      </c>
      <c r="D6" s="3" t="s">
        <v>41</v>
      </c>
      <c r="E6" s="3" t="s">
        <v>46</v>
      </c>
      <c r="F6" s="3">
        <v>7</v>
      </c>
    </row>
    <row r="7" spans="1:6" x14ac:dyDescent="0.3">
      <c r="A7" s="5">
        <v>1006</v>
      </c>
      <c r="B7" s="5">
        <v>26</v>
      </c>
      <c r="C7" s="6">
        <v>45987</v>
      </c>
      <c r="D7" s="5" t="s">
        <v>41</v>
      </c>
      <c r="E7" s="5" t="s">
        <v>43</v>
      </c>
      <c r="F7" s="5">
        <v>2</v>
      </c>
    </row>
    <row r="8" spans="1:6" x14ac:dyDescent="0.3">
      <c r="A8" s="3">
        <v>1007</v>
      </c>
      <c r="B8" s="3">
        <v>26</v>
      </c>
      <c r="C8" s="4">
        <v>45843</v>
      </c>
      <c r="D8" s="3" t="s">
        <v>41</v>
      </c>
      <c r="E8" s="3" t="s">
        <v>45</v>
      </c>
      <c r="F8" s="3">
        <v>2</v>
      </c>
    </row>
    <row r="9" spans="1:6" x14ac:dyDescent="0.3">
      <c r="A9" s="5">
        <v>1008</v>
      </c>
      <c r="B9" s="5">
        <v>17</v>
      </c>
      <c r="C9" s="6">
        <v>45941</v>
      </c>
      <c r="D9" s="5" t="s">
        <v>47</v>
      </c>
      <c r="E9" s="5" t="s">
        <v>46</v>
      </c>
      <c r="F9" s="5">
        <v>0</v>
      </c>
    </row>
    <row r="10" spans="1:6" x14ac:dyDescent="0.3">
      <c r="A10" s="3">
        <v>1009</v>
      </c>
      <c r="B10" s="3">
        <v>22</v>
      </c>
      <c r="C10" s="4">
        <v>45715</v>
      </c>
      <c r="D10" s="3" t="s">
        <v>41</v>
      </c>
      <c r="E10" s="3" t="s">
        <v>42</v>
      </c>
      <c r="F10" s="3">
        <v>4</v>
      </c>
    </row>
    <row r="11" spans="1:6" x14ac:dyDescent="0.3">
      <c r="A11" s="5">
        <v>1010</v>
      </c>
      <c r="B11" s="5">
        <v>24</v>
      </c>
      <c r="C11" s="6">
        <v>45740</v>
      </c>
      <c r="D11" s="5" t="s">
        <v>48</v>
      </c>
      <c r="E11" s="5" t="s">
        <v>45</v>
      </c>
      <c r="F11" s="5">
        <v>0</v>
      </c>
    </row>
    <row r="12" spans="1:6" x14ac:dyDescent="0.3">
      <c r="A12" s="3">
        <v>1011</v>
      </c>
      <c r="B12" s="3">
        <v>8</v>
      </c>
      <c r="C12" s="4">
        <v>45843</v>
      </c>
      <c r="D12" s="3" t="s">
        <v>47</v>
      </c>
      <c r="E12" s="3" t="s">
        <v>43</v>
      </c>
      <c r="F12" s="3">
        <v>0</v>
      </c>
    </row>
    <row r="13" spans="1:6" x14ac:dyDescent="0.3">
      <c r="A13" s="5">
        <v>1012</v>
      </c>
      <c r="B13" s="5">
        <v>5</v>
      </c>
      <c r="C13" s="6">
        <v>45930</v>
      </c>
      <c r="D13" s="5" t="s">
        <v>47</v>
      </c>
      <c r="E13" s="5" t="s">
        <v>42</v>
      </c>
      <c r="F13" s="5">
        <v>0</v>
      </c>
    </row>
    <row r="14" spans="1:6" x14ac:dyDescent="0.3">
      <c r="A14" s="3">
        <v>1013</v>
      </c>
      <c r="B14" s="3">
        <v>14</v>
      </c>
      <c r="C14" s="4">
        <v>45934</v>
      </c>
      <c r="D14" s="3" t="s">
        <v>47</v>
      </c>
      <c r="E14" s="3" t="s">
        <v>42</v>
      </c>
      <c r="F14" s="3">
        <v>0</v>
      </c>
    </row>
    <row r="15" spans="1:6" x14ac:dyDescent="0.3">
      <c r="A15" s="5">
        <v>1014</v>
      </c>
      <c r="B15" s="5">
        <v>38</v>
      </c>
      <c r="C15" s="6">
        <v>45941</v>
      </c>
      <c r="D15" s="5" t="s">
        <v>41</v>
      </c>
      <c r="E15" s="5" t="s">
        <v>42</v>
      </c>
      <c r="F15" s="5">
        <v>5</v>
      </c>
    </row>
    <row r="16" spans="1:6" x14ac:dyDescent="0.3">
      <c r="A16" s="3">
        <v>1015</v>
      </c>
      <c r="B16" s="3">
        <v>15</v>
      </c>
      <c r="C16" s="4">
        <v>45692</v>
      </c>
      <c r="D16" s="3" t="s">
        <v>41</v>
      </c>
      <c r="E16" s="3" t="s">
        <v>43</v>
      </c>
      <c r="F16" s="3">
        <v>7</v>
      </c>
    </row>
    <row r="17" spans="1:6" x14ac:dyDescent="0.3">
      <c r="A17" s="5">
        <v>1016</v>
      </c>
      <c r="B17" s="5">
        <v>32</v>
      </c>
      <c r="C17" s="6">
        <v>45767</v>
      </c>
      <c r="D17" s="5" t="s">
        <v>48</v>
      </c>
      <c r="E17" s="5" t="s">
        <v>42</v>
      </c>
      <c r="F17" s="5">
        <v>0</v>
      </c>
    </row>
    <row r="18" spans="1:6" x14ac:dyDescent="0.3">
      <c r="A18" s="3">
        <v>1017</v>
      </c>
      <c r="B18" s="3">
        <v>7</v>
      </c>
      <c r="C18" s="4">
        <v>45689</v>
      </c>
      <c r="D18" s="3" t="s">
        <v>41</v>
      </c>
      <c r="E18" s="3" t="s">
        <v>43</v>
      </c>
      <c r="F18" s="3">
        <v>6</v>
      </c>
    </row>
    <row r="19" spans="1:6" x14ac:dyDescent="0.3">
      <c r="A19" s="5">
        <v>1018</v>
      </c>
      <c r="B19" s="5">
        <v>29</v>
      </c>
      <c r="C19" s="6">
        <v>45729</v>
      </c>
      <c r="D19" s="5" t="s">
        <v>41</v>
      </c>
      <c r="E19" s="5" t="s">
        <v>43</v>
      </c>
      <c r="F19" s="5">
        <v>2</v>
      </c>
    </row>
    <row r="20" spans="1:6" x14ac:dyDescent="0.3">
      <c r="A20" s="3">
        <v>1019</v>
      </c>
      <c r="B20" s="3">
        <v>31</v>
      </c>
      <c r="C20" s="4">
        <v>45767</v>
      </c>
      <c r="D20" s="3" t="s">
        <v>47</v>
      </c>
      <c r="E20" s="3" t="s">
        <v>49</v>
      </c>
      <c r="F20" s="3">
        <v>0</v>
      </c>
    </row>
    <row r="21" spans="1:6" x14ac:dyDescent="0.3">
      <c r="A21" s="5">
        <v>1020</v>
      </c>
      <c r="B21" s="5">
        <v>17</v>
      </c>
      <c r="C21" s="6">
        <v>45890</v>
      </c>
      <c r="D21" s="5" t="s">
        <v>41</v>
      </c>
      <c r="E21" s="5" t="s">
        <v>45</v>
      </c>
      <c r="F21" s="5">
        <v>4</v>
      </c>
    </row>
    <row r="22" spans="1:6" x14ac:dyDescent="0.3">
      <c r="A22" s="3">
        <v>1021</v>
      </c>
      <c r="B22" s="3">
        <v>33</v>
      </c>
      <c r="C22" s="4">
        <v>45929</v>
      </c>
      <c r="D22" s="3" t="s">
        <v>41</v>
      </c>
      <c r="E22" s="3" t="s">
        <v>45</v>
      </c>
      <c r="F22" s="3">
        <v>1</v>
      </c>
    </row>
    <row r="23" spans="1:6" x14ac:dyDescent="0.3">
      <c r="A23" s="5">
        <v>1022</v>
      </c>
      <c r="B23" s="5">
        <v>16</v>
      </c>
      <c r="C23" s="6">
        <v>45864</v>
      </c>
      <c r="D23" s="5" t="s">
        <v>41</v>
      </c>
      <c r="E23" s="5" t="s">
        <v>42</v>
      </c>
      <c r="F23" s="5">
        <v>5</v>
      </c>
    </row>
    <row r="24" spans="1:6" x14ac:dyDescent="0.3">
      <c r="A24" s="3">
        <v>1023</v>
      </c>
      <c r="B24" s="3">
        <v>38</v>
      </c>
      <c r="C24" s="4">
        <v>45947</v>
      </c>
      <c r="D24" s="3" t="s">
        <v>48</v>
      </c>
      <c r="E24" s="3" t="s">
        <v>43</v>
      </c>
      <c r="F24" s="3">
        <v>0</v>
      </c>
    </row>
    <row r="25" spans="1:6" x14ac:dyDescent="0.3">
      <c r="A25" s="5">
        <v>1024</v>
      </c>
      <c r="B25" s="5">
        <v>1</v>
      </c>
      <c r="C25" s="6">
        <v>45892</v>
      </c>
      <c r="D25" s="5" t="s">
        <v>48</v>
      </c>
      <c r="E25" s="5" t="s">
        <v>45</v>
      </c>
      <c r="F25" s="5">
        <v>0</v>
      </c>
    </row>
    <row r="26" spans="1:6" x14ac:dyDescent="0.3">
      <c r="A26" s="3">
        <v>1025</v>
      </c>
      <c r="B26" s="3">
        <v>17</v>
      </c>
      <c r="C26" s="4">
        <v>45725</v>
      </c>
      <c r="D26" s="3" t="s">
        <v>41</v>
      </c>
      <c r="E26" s="3" t="s">
        <v>42</v>
      </c>
      <c r="F26" s="3">
        <v>1</v>
      </c>
    </row>
    <row r="27" spans="1:6" x14ac:dyDescent="0.3">
      <c r="A27" s="5">
        <v>1026</v>
      </c>
      <c r="B27" s="5">
        <v>36</v>
      </c>
      <c r="C27" s="6">
        <v>45811</v>
      </c>
      <c r="D27" s="5" t="s">
        <v>44</v>
      </c>
      <c r="E27" s="5" t="s">
        <v>42</v>
      </c>
      <c r="F27" s="5">
        <v>1</v>
      </c>
    </row>
    <row r="28" spans="1:6" x14ac:dyDescent="0.3">
      <c r="A28" s="3">
        <v>1027</v>
      </c>
      <c r="B28" s="3">
        <v>17</v>
      </c>
      <c r="C28" s="4">
        <v>45916</v>
      </c>
      <c r="D28" s="3" t="s">
        <v>41</v>
      </c>
      <c r="E28" s="3" t="s">
        <v>46</v>
      </c>
      <c r="F28" s="3">
        <v>3</v>
      </c>
    </row>
    <row r="29" spans="1:6" x14ac:dyDescent="0.3">
      <c r="A29" s="5">
        <v>1028</v>
      </c>
      <c r="B29" s="5">
        <v>1</v>
      </c>
      <c r="C29" s="6">
        <v>45828</v>
      </c>
      <c r="D29" s="5" t="s">
        <v>47</v>
      </c>
      <c r="E29" s="5" t="s">
        <v>42</v>
      </c>
      <c r="F29" s="5">
        <v>0</v>
      </c>
    </row>
    <row r="30" spans="1:6" x14ac:dyDescent="0.3">
      <c r="A30" s="3">
        <v>1029</v>
      </c>
      <c r="B30" s="3">
        <v>10</v>
      </c>
      <c r="C30" s="4">
        <v>45937</v>
      </c>
      <c r="D30" s="3" t="s">
        <v>41</v>
      </c>
      <c r="E30" s="3" t="s">
        <v>43</v>
      </c>
      <c r="F30" s="3">
        <v>7</v>
      </c>
    </row>
    <row r="31" spans="1:6" x14ac:dyDescent="0.3">
      <c r="A31" s="5">
        <v>1030</v>
      </c>
      <c r="B31" s="5">
        <v>23</v>
      </c>
      <c r="C31" s="6">
        <v>45765</v>
      </c>
      <c r="D31" s="5" t="s">
        <v>44</v>
      </c>
      <c r="E31" s="5" t="s">
        <v>46</v>
      </c>
      <c r="F31" s="5">
        <v>2</v>
      </c>
    </row>
    <row r="32" spans="1:6" x14ac:dyDescent="0.3">
      <c r="A32" s="3">
        <v>1031</v>
      </c>
      <c r="B32" s="3">
        <v>12</v>
      </c>
      <c r="C32" s="4">
        <v>45828</v>
      </c>
      <c r="D32" s="3" t="s">
        <v>47</v>
      </c>
      <c r="E32" s="3" t="s">
        <v>49</v>
      </c>
      <c r="F32" s="3">
        <v>0</v>
      </c>
    </row>
    <row r="33" spans="1:6" x14ac:dyDescent="0.3">
      <c r="A33" s="5">
        <v>1032</v>
      </c>
      <c r="B33" s="5">
        <v>31</v>
      </c>
      <c r="C33" s="6">
        <v>45771</v>
      </c>
      <c r="D33" s="5" t="s">
        <v>41</v>
      </c>
      <c r="E33" s="5" t="s">
        <v>49</v>
      </c>
      <c r="F33" s="5">
        <v>7</v>
      </c>
    </row>
    <row r="34" spans="1:6" x14ac:dyDescent="0.3">
      <c r="A34" s="3">
        <v>1033</v>
      </c>
      <c r="B34" s="3">
        <v>23</v>
      </c>
      <c r="C34" s="4">
        <v>45986</v>
      </c>
      <c r="D34" s="3" t="s">
        <v>48</v>
      </c>
      <c r="E34" s="3" t="s">
        <v>49</v>
      </c>
      <c r="F34" s="3">
        <v>0</v>
      </c>
    </row>
    <row r="35" spans="1:6" x14ac:dyDescent="0.3">
      <c r="A35" s="5">
        <v>1034</v>
      </c>
      <c r="B35" s="5">
        <v>21</v>
      </c>
      <c r="C35" s="6">
        <v>45881</v>
      </c>
      <c r="D35" s="5" t="s">
        <v>48</v>
      </c>
      <c r="E35" s="5" t="s">
        <v>45</v>
      </c>
      <c r="F35" s="5">
        <v>0</v>
      </c>
    </row>
    <row r="36" spans="1:6" x14ac:dyDescent="0.3">
      <c r="A36" s="3">
        <v>1035</v>
      </c>
      <c r="B36" s="3">
        <v>17</v>
      </c>
      <c r="C36" s="4">
        <v>45680</v>
      </c>
      <c r="D36" s="3" t="s">
        <v>44</v>
      </c>
      <c r="E36" s="3" t="s">
        <v>46</v>
      </c>
      <c r="F36" s="3">
        <v>4</v>
      </c>
    </row>
    <row r="37" spans="1:6" x14ac:dyDescent="0.3">
      <c r="A37" s="5">
        <v>1036</v>
      </c>
      <c r="B37" s="5">
        <v>21</v>
      </c>
      <c r="C37" s="6">
        <v>45997</v>
      </c>
      <c r="D37" s="5" t="s">
        <v>47</v>
      </c>
      <c r="E37" s="5" t="s">
        <v>46</v>
      </c>
      <c r="F37" s="5">
        <v>0</v>
      </c>
    </row>
    <row r="38" spans="1:6" x14ac:dyDescent="0.3">
      <c r="A38" s="3">
        <v>1037</v>
      </c>
      <c r="B38" s="3">
        <v>25</v>
      </c>
      <c r="C38" s="4">
        <v>46004</v>
      </c>
      <c r="D38" s="3" t="s">
        <v>44</v>
      </c>
      <c r="E38" s="3" t="s">
        <v>45</v>
      </c>
      <c r="F38" s="3">
        <v>2</v>
      </c>
    </row>
    <row r="39" spans="1:6" x14ac:dyDescent="0.3">
      <c r="A39" s="5">
        <v>1038</v>
      </c>
      <c r="B39" s="5">
        <v>30</v>
      </c>
      <c r="C39" s="6">
        <v>45884</v>
      </c>
      <c r="D39" s="5" t="s">
        <v>41</v>
      </c>
      <c r="E39" s="5" t="s">
        <v>42</v>
      </c>
      <c r="F39" s="5">
        <v>6</v>
      </c>
    </row>
    <row r="40" spans="1:6" x14ac:dyDescent="0.3">
      <c r="A40" s="3">
        <v>1039</v>
      </c>
      <c r="B40" s="3">
        <v>2</v>
      </c>
      <c r="C40" s="4">
        <v>45681</v>
      </c>
      <c r="D40" s="3" t="s">
        <v>41</v>
      </c>
      <c r="E40" s="3" t="s">
        <v>45</v>
      </c>
      <c r="F40" s="3">
        <v>4</v>
      </c>
    </row>
    <row r="41" spans="1:6" x14ac:dyDescent="0.3">
      <c r="A41" s="5">
        <v>1040</v>
      </c>
      <c r="B41" s="5">
        <v>37</v>
      </c>
      <c r="C41" s="6">
        <v>45757</v>
      </c>
      <c r="D41" s="5" t="s">
        <v>44</v>
      </c>
      <c r="E41" s="5" t="s">
        <v>49</v>
      </c>
      <c r="F41" s="5">
        <v>6</v>
      </c>
    </row>
    <row r="42" spans="1:6" x14ac:dyDescent="0.3">
      <c r="A42" s="3">
        <v>1041</v>
      </c>
      <c r="B42" s="3">
        <v>36</v>
      </c>
      <c r="C42" s="4">
        <v>45785</v>
      </c>
      <c r="D42" s="3" t="s">
        <v>47</v>
      </c>
      <c r="E42" s="3" t="s">
        <v>46</v>
      </c>
      <c r="F42" s="3">
        <v>0</v>
      </c>
    </row>
    <row r="43" spans="1:6" x14ac:dyDescent="0.3">
      <c r="A43" s="5">
        <v>1042</v>
      </c>
      <c r="B43" s="5">
        <v>29</v>
      </c>
      <c r="C43" s="6">
        <v>45739</v>
      </c>
      <c r="D43" s="5" t="s">
        <v>44</v>
      </c>
      <c r="E43" s="5" t="s">
        <v>49</v>
      </c>
      <c r="F43" s="5">
        <v>7</v>
      </c>
    </row>
    <row r="44" spans="1:6" x14ac:dyDescent="0.3">
      <c r="A44" s="3">
        <v>1043</v>
      </c>
      <c r="B44" s="3">
        <v>35</v>
      </c>
      <c r="C44" s="4">
        <v>45699</v>
      </c>
      <c r="D44" s="3" t="s">
        <v>41</v>
      </c>
      <c r="E44" s="3" t="s">
        <v>42</v>
      </c>
      <c r="F44" s="3">
        <v>2</v>
      </c>
    </row>
    <row r="45" spans="1:6" x14ac:dyDescent="0.3">
      <c r="A45" s="5">
        <v>1044</v>
      </c>
      <c r="B45" s="5">
        <v>2</v>
      </c>
      <c r="C45" s="6">
        <v>45952</v>
      </c>
      <c r="D45" s="5" t="s">
        <v>41</v>
      </c>
      <c r="E45" s="5" t="s">
        <v>46</v>
      </c>
      <c r="F45" s="5">
        <v>4</v>
      </c>
    </row>
    <row r="46" spans="1:6" x14ac:dyDescent="0.3">
      <c r="A46" s="3">
        <v>1045</v>
      </c>
      <c r="B46" s="3">
        <v>15</v>
      </c>
      <c r="C46" s="4">
        <v>45797</v>
      </c>
      <c r="D46" s="3" t="s">
        <v>41</v>
      </c>
      <c r="E46" s="3" t="s">
        <v>46</v>
      </c>
      <c r="F46" s="3">
        <v>4</v>
      </c>
    </row>
    <row r="47" spans="1:6" x14ac:dyDescent="0.3">
      <c r="A47" s="5">
        <v>1046</v>
      </c>
      <c r="B47" s="5">
        <v>28</v>
      </c>
      <c r="C47" s="6">
        <v>45727</v>
      </c>
      <c r="D47" s="5" t="s">
        <v>47</v>
      </c>
      <c r="E47" s="5" t="s">
        <v>49</v>
      </c>
      <c r="F47" s="5">
        <v>0</v>
      </c>
    </row>
    <row r="48" spans="1:6" x14ac:dyDescent="0.3">
      <c r="A48" s="3">
        <v>1047</v>
      </c>
      <c r="B48" s="3">
        <v>25</v>
      </c>
      <c r="C48" s="4">
        <v>45800</v>
      </c>
      <c r="D48" s="3" t="s">
        <v>47</v>
      </c>
      <c r="E48" s="3" t="s">
        <v>49</v>
      </c>
      <c r="F48" s="3">
        <v>0</v>
      </c>
    </row>
    <row r="49" spans="1:6" x14ac:dyDescent="0.3">
      <c r="A49" s="5">
        <v>1048</v>
      </c>
      <c r="B49" s="5">
        <v>3</v>
      </c>
      <c r="C49" s="6">
        <v>45673</v>
      </c>
      <c r="D49" s="5" t="s">
        <v>41</v>
      </c>
      <c r="E49" s="5" t="s">
        <v>46</v>
      </c>
      <c r="F49" s="5">
        <v>2</v>
      </c>
    </row>
    <row r="50" spans="1:6" x14ac:dyDescent="0.3">
      <c r="A50" s="3">
        <v>1049</v>
      </c>
      <c r="B50" s="3">
        <v>30</v>
      </c>
      <c r="C50" s="4">
        <v>46016</v>
      </c>
      <c r="D50" s="3" t="s">
        <v>41</v>
      </c>
      <c r="E50" s="3" t="s">
        <v>43</v>
      </c>
      <c r="F50" s="3">
        <v>7</v>
      </c>
    </row>
    <row r="51" spans="1:6" x14ac:dyDescent="0.3">
      <c r="A51" s="5">
        <v>1050</v>
      </c>
      <c r="B51" s="5">
        <v>38</v>
      </c>
      <c r="C51" s="6">
        <v>45671</v>
      </c>
      <c r="D51" s="5" t="s">
        <v>41</v>
      </c>
      <c r="E51" s="5" t="s">
        <v>49</v>
      </c>
      <c r="F51" s="5">
        <v>5</v>
      </c>
    </row>
    <row r="52" spans="1:6" x14ac:dyDescent="0.3">
      <c r="A52" s="3">
        <v>1051</v>
      </c>
      <c r="B52" s="3">
        <v>35</v>
      </c>
      <c r="C52" s="4">
        <v>45877</v>
      </c>
      <c r="D52" s="3" t="s">
        <v>44</v>
      </c>
      <c r="E52" s="3" t="s">
        <v>46</v>
      </c>
      <c r="F52" s="3">
        <v>3</v>
      </c>
    </row>
    <row r="53" spans="1:6" x14ac:dyDescent="0.3">
      <c r="A53" s="5">
        <v>1052</v>
      </c>
      <c r="B53" s="5">
        <v>12</v>
      </c>
      <c r="C53" s="6">
        <v>45925</v>
      </c>
      <c r="D53" s="5" t="s">
        <v>44</v>
      </c>
      <c r="E53" s="5" t="s">
        <v>45</v>
      </c>
      <c r="F53" s="5">
        <v>3</v>
      </c>
    </row>
    <row r="54" spans="1:6" x14ac:dyDescent="0.3">
      <c r="A54" s="3">
        <v>1053</v>
      </c>
      <c r="B54" s="3">
        <v>25</v>
      </c>
      <c r="C54" s="4">
        <v>45830</v>
      </c>
      <c r="D54" s="3" t="s">
        <v>41</v>
      </c>
      <c r="E54" s="3" t="s">
        <v>43</v>
      </c>
      <c r="F54" s="3">
        <v>4</v>
      </c>
    </row>
    <row r="55" spans="1:6" x14ac:dyDescent="0.3">
      <c r="A55" s="5">
        <v>1054</v>
      </c>
      <c r="B55" s="5">
        <v>18</v>
      </c>
      <c r="C55" s="6">
        <v>45942</v>
      </c>
      <c r="D55" s="5" t="s">
        <v>41</v>
      </c>
      <c r="E55" s="5" t="s">
        <v>42</v>
      </c>
      <c r="F55" s="5">
        <v>5</v>
      </c>
    </row>
    <row r="56" spans="1:6" x14ac:dyDescent="0.3">
      <c r="A56" s="3">
        <v>1055</v>
      </c>
      <c r="B56" s="3">
        <v>36</v>
      </c>
      <c r="C56" s="4">
        <v>45781</v>
      </c>
      <c r="D56" s="3" t="s">
        <v>44</v>
      </c>
      <c r="E56" s="3" t="s">
        <v>49</v>
      </c>
      <c r="F56" s="3">
        <v>4</v>
      </c>
    </row>
    <row r="57" spans="1:6" x14ac:dyDescent="0.3">
      <c r="A57" s="5">
        <v>1056</v>
      </c>
      <c r="B57" s="5">
        <v>36</v>
      </c>
      <c r="C57" s="6">
        <v>45827</v>
      </c>
      <c r="D57" s="5" t="s">
        <v>41</v>
      </c>
      <c r="E57" s="5" t="s">
        <v>49</v>
      </c>
      <c r="F57" s="5">
        <v>6</v>
      </c>
    </row>
    <row r="58" spans="1:6" x14ac:dyDescent="0.3">
      <c r="A58" s="3">
        <v>1057</v>
      </c>
      <c r="B58" s="3">
        <v>12</v>
      </c>
      <c r="C58" s="4">
        <v>45756</v>
      </c>
      <c r="D58" s="3" t="s">
        <v>41</v>
      </c>
      <c r="E58" s="3" t="s">
        <v>49</v>
      </c>
      <c r="F58" s="3">
        <v>6</v>
      </c>
    </row>
    <row r="59" spans="1:6" x14ac:dyDescent="0.3">
      <c r="A59" s="5">
        <v>1058</v>
      </c>
      <c r="B59" s="5">
        <v>35</v>
      </c>
      <c r="C59" s="6">
        <v>45722</v>
      </c>
      <c r="D59" s="5" t="s">
        <v>41</v>
      </c>
      <c r="E59" s="5" t="s">
        <v>46</v>
      </c>
      <c r="F59" s="5">
        <v>1</v>
      </c>
    </row>
    <row r="60" spans="1:6" x14ac:dyDescent="0.3">
      <c r="A60" s="3">
        <v>1059</v>
      </c>
      <c r="B60" s="3">
        <v>4</v>
      </c>
      <c r="C60" s="4">
        <v>45787</v>
      </c>
      <c r="D60" s="3" t="s">
        <v>47</v>
      </c>
      <c r="E60" s="3" t="s">
        <v>49</v>
      </c>
      <c r="F60" s="3">
        <v>0</v>
      </c>
    </row>
    <row r="61" spans="1:6" x14ac:dyDescent="0.3">
      <c r="A61" s="5">
        <v>1060</v>
      </c>
      <c r="B61" s="5">
        <v>37</v>
      </c>
      <c r="C61" s="6">
        <v>45980</v>
      </c>
      <c r="D61" s="5" t="s">
        <v>44</v>
      </c>
      <c r="E61" s="5" t="s">
        <v>42</v>
      </c>
      <c r="F61" s="5">
        <v>1</v>
      </c>
    </row>
    <row r="62" spans="1:6" x14ac:dyDescent="0.3">
      <c r="A62" s="3">
        <v>1061</v>
      </c>
      <c r="B62" s="3">
        <v>39</v>
      </c>
      <c r="C62" s="4">
        <v>45963</v>
      </c>
      <c r="D62" s="3" t="s">
        <v>47</v>
      </c>
      <c r="E62" s="3" t="s">
        <v>45</v>
      </c>
      <c r="F62" s="3">
        <v>0</v>
      </c>
    </row>
    <row r="63" spans="1:6" x14ac:dyDescent="0.3">
      <c r="A63" s="5">
        <v>1062</v>
      </c>
      <c r="B63" s="5">
        <v>28</v>
      </c>
      <c r="C63" s="6">
        <v>45814</v>
      </c>
      <c r="D63" s="5" t="s">
        <v>48</v>
      </c>
      <c r="E63" s="5" t="s">
        <v>45</v>
      </c>
      <c r="F63" s="5">
        <v>0</v>
      </c>
    </row>
    <row r="64" spans="1:6" x14ac:dyDescent="0.3">
      <c r="A64" s="3">
        <v>1063</v>
      </c>
      <c r="B64" s="3">
        <v>14</v>
      </c>
      <c r="C64" s="4">
        <v>45978</v>
      </c>
      <c r="D64" s="3" t="s">
        <v>41</v>
      </c>
      <c r="E64" s="3" t="s">
        <v>46</v>
      </c>
      <c r="F64" s="3">
        <v>3</v>
      </c>
    </row>
    <row r="65" spans="1:6" x14ac:dyDescent="0.3">
      <c r="A65" s="5">
        <v>1064</v>
      </c>
      <c r="B65" s="5">
        <v>39</v>
      </c>
      <c r="C65" s="6">
        <v>45898</v>
      </c>
      <c r="D65" s="5" t="s">
        <v>41</v>
      </c>
      <c r="E65" s="5" t="s">
        <v>42</v>
      </c>
      <c r="F65" s="5">
        <v>1</v>
      </c>
    </row>
    <row r="66" spans="1:6" x14ac:dyDescent="0.3">
      <c r="A66" s="3">
        <v>1065</v>
      </c>
      <c r="B66" s="3">
        <v>28</v>
      </c>
      <c r="C66" s="4">
        <v>45716</v>
      </c>
      <c r="D66" s="3" t="s">
        <v>48</v>
      </c>
      <c r="E66" s="3" t="s">
        <v>42</v>
      </c>
      <c r="F66" s="3">
        <v>0</v>
      </c>
    </row>
    <row r="67" spans="1:6" x14ac:dyDescent="0.3">
      <c r="A67" s="5">
        <v>1066</v>
      </c>
      <c r="B67" s="5">
        <v>37</v>
      </c>
      <c r="C67" s="6">
        <v>45805</v>
      </c>
      <c r="D67" s="5" t="s">
        <v>41</v>
      </c>
      <c r="E67" s="5" t="s">
        <v>49</v>
      </c>
      <c r="F67" s="5">
        <v>1</v>
      </c>
    </row>
    <row r="68" spans="1:6" x14ac:dyDescent="0.3">
      <c r="A68" s="3">
        <v>1067</v>
      </c>
      <c r="B68" s="3">
        <v>21</v>
      </c>
      <c r="C68" s="4">
        <v>45967</v>
      </c>
      <c r="D68" s="3" t="s">
        <v>41</v>
      </c>
      <c r="E68" s="3" t="s">
        <v>46</v>
      </c>
      <c r="F68" s="3">
        <v>1</v>
      </c>
    </row>
    <row r="69" spans="1:6" x14ac:dyDescent="0.3">
      <c r="A69" s="5">
        <v>1068</v>
      </c>
      <c r="B69" s="5">
        <v>3</v>
      </c>
      <c r="C69" s="6">
        <v>45747</v>
      </c>
      <c r="D69" s="5" t="s">
        <v>41</v>
      </c>
      <c r="E69" s="5" t="s">
        <v>49</v>
      </c>
      <c r="F69" s="5">
        <v>5</v>
      </c>
    </row>
    <row r="70" spans="1:6" x14ac:dyDescent="0.3">
      <c r="A70" s="3">
        <v>1069</v>
      </c>
      <c r="B70" s="3">
        <v>21</v>
      </c>
      <c r="C70" s="4">
        <v>46001</v>
      </c>
      <c r="D70" s="3" t="s">
        <v>41</v>
      </c>
      <c r="E70" s="3" t="s">
        <v>42</v>
      </c>
      <c r="F70" s="3">
        <v>7</v>
      </c>
    </row>
    <row r="71" spans="1:6" x14ac:dyDescent="0.3">
      <c r="A71" s="5">
        <v>1070</v>
      </c>
      <c r="B71" s="5">
        <v>21</v>
      </c>
      <c r="C71" s="6">
        <v>45787</v>
      </c>
      <c r="D71" s="5" t="s">
        <v>41</v>
      </c>
      <c r="E71" s="5" t="s">
        <v>49</v>
      </c>
      <c r="F71" s="5">
        <v>1</v>
      </c>
    </row>
    <row r="72" spans="1:6" x14ac:dyDescent="0.3">
      <c r="A72" s="3">
        <v>1071</v>
      </c>
      <c r="B72" s="3">
        <v>13</v>
      </c>
      <c r="C72" s="4">
        <v>45923</v>
      </c>
      <c r="D72" s="3" t="s">
        <v>41</v>
      </c>
      <c r="E72" s="3" t="s">
        <v>49</v>
      </c>
      <c r="F72" s="3">
        <v>5</v>
      </c>
    </row>
    <row r="73" spans="1:6" x14ac:dyDescent="0.3">
      <c r="A73" s="5">
        <v>1072</v>
      </c>
      <c r="B73" s="5">
        <v>11</v>
      </c>
      <c r="C73" s="6">
        <v>45817</v>
      </c>
      <c r="D73" s="5" t="s">
        <v>48</v>
      </c>
      <c r="E73" s="5" t="s">
        <v>46</v>
      </c>
      <c r="F73" s="5">
        <v>0</v>
      </c>
    </row>
    <row r="74" spans="1:6" x14ac:dyDescent="0.3">
      <c r="A74" s="3">
        <v>1073</v>
      </c>
      <c r="B74" s="3">
        <v>27</v>
      </c>
      <c r="C74" s="4">
        <v>45905</v>
      </c>
      <c r="D74" s="3" t="s">
        <v>41</v>
      </c>
      <c r="E74" s="3" t="s">
        <v>49</v>
      </c>
      <c r="F74" s="3">
        <v>2</v>
      </c>
    </row>
    <row r="75" spans="1:6" x14ac:dyDescent="0.3">
      <c r="A75" s="5">
        <v>1074</v>
      </c>
      <c r="B75" s="5">
        <v>5</v>
      </c>
      <c r="C75" s="6">
        <v>45799</v>
      </c>
      <c r="D75" s="5" t="s">
        <v>47</v>
      </c>
      <c r="E75" s="5" t="s">
        <v>49</v>
      </c>
      <c r="F75" s="5">
        <v>0</v>
      </c>
    </row>
    <row r="76" spans="1:6" x14ac:dyDescent="0.3">
      <c r="A76" s="3">
        <v>1075</v>
      </c>
      <c r="B76" s="3">
        <v>10</v>
      </c>
      <c r="C76" s="4">
        <v>45886</v>
      </c>
      <c r="D76" s="3" t="s">
        <v>48</v>
      </c>
      <c r="E76" s="3" t="s">
        <v>49</v>
      </c>
      <c r="F76" s="3">
        <v>0</v>
      </c>
    </row>
    <row r="77" spans="1:6" x14ac:dyDescent="0.3">
      <c r="A77" s="5">
        <v>1076</v>
      </c>
      <c r="B77" s="5">
        <v>15</v>
      </c>
      <c r="C77" s="6">
        <v>45868</v>
      </c>
      <c r="D77" s="5" t="s">
        <v>41</v>
      </c>
      <c r="E77" s="5" t="s">
        <v>49</v>
      </c>
      <c r="F77" s="5">
        <v>3</v>
      </c>
    </row>
    <row r="78" spans="1:6" x14ac:dyDescent="0.3">
      <c r="A78" s="3">
        <v>1077</v>
      </c>
      <c r="B78" s="3">
        <v>1</v>
      </c>
      <c r="C78" s="4">
        <v>45731</v>
      </c>
      <c r="D78" s="3" t="s">
        <v>41</v>
      </c>
      <c r="E78" s="3" t="s">
        <v>42</v>
      </c>
      <c r="F78" s="3">
        <v>7</v>
      </c>
    </row>
    <row r="79" spans="1:6" x14ac:dyDescent="0.3">
      <c r="A79" s="5">
        <v>1078</v>
      </c>
      <c r="B79" s="5">
        <v>22</v>
      </c>
      <c r="C79" s="6">
        <v>45977</v>
      </c>
      <c r="D79" s="5" t="s">
        <v>44</v>
      </c>
      <c r="E79" s="5" t="s">
        <v>46</v>
      </c>
      <c r="F79" s="5">
        <v>4</v>
      </c>
    </row>
    <row r="80" spans="1:6" x14ac:dyDescent="0.3">
      <c r="A80" s="3">
        <v>1079</v>
      </c>
      <c r="B80" s="3">
        <v>19</v>
      </c>
      <c r="C80" s="4">
        <v>45774</v>
      </c>
      <c r="D80" s="3" t="s">
        <v>44</v>
      </c>
      <c r="E80" s="3" t="s">
        <v>49</v>
      </c>
      <c r="F80" s="3">
        <v>1</v>
      </c>
    </row>
    <row r="81" spans="1:6" x14ac:dyDescent="0.3">
      <c r="A81" s="5">
        <v>1080</v>
      </c>
      <c r="B81" s="5">
        <v>20</v>
      </c>
      <c r="C81" s="6">
        <v>45672</v>
      </c>
      <c r="D81" s="5" t="s">
        <v>41</v>
      </c>
      <c r="E81" s="5" t="s">
        <v>46</v>
      </c>
      <c r="F81" s="5">
        <v>3</v>
      </c>
    </row>
    <row r="82" spans="1:6" x14ac:dyDescent="0.3">
      <c r="A82" s="3">
        <v>1081</v>
      </c>
      <c r="B82" s="3">
        <v>12</v>
      </c>
      <c r="C82" s="4">
        <v>45698</v>
      </c>
      <c r="D82" s="3" t="s">
        <v>48</v>
      </c>
      <c r="E82" s="3" t="s">
        <v>49</v>
      </c>
      <c r="F82" s="3">
        <v>0</v>
      </c>
    </row>
    <row r="83" spans="1:6" x14ac:dyDescent="0.3">
      <c r="A83" s="5">
        <v>1082</v>
      </c>
      <c r="B83" s="5">
        <v>17</v>
      </c>
      <c r="C83" s="6">
        <v>45999</v>
      </c>
      <c r="D83" s="5" t="s">
        <v>41</v>
      </c>
      <c r="E83" s="5" t="s">
        <v>49</v>
      </c>
      <c r="F83" s="5">
        <v>7</v>
      </c>
    </row>
    <row r="84" spans="1:6" x14ac:dyDescent="0.3">
      <c r="A84" s="3">
        <v>1083</v>
      </c>
      <c r="B84" s="3">
        <v>17</v>
      </c>
      <c r="C84" s="4">
        <v>45891</v>
      </c>
      <c r="D84" s="3" t="s">
        <v>47</v>
      </c>
      <c r="E84" s="3" t="s">
        <v>43</v>
      </c>
      <c r="F84" s="3">
        <v>0</v>
      </c>
    </row>
    <row r="85" spans="1:6" x14ac:dyDescent="0.3">
      <c r="A85" s="5">
        <v>1084</v>
      </c>
      <c r="B85" s="5">
        <v>19</v>
      </c>
      <c r="C85" s="6">
        <v>46016</v>
      </c>
      <c r="D85" s="5" t="s">
        <v>41</v>
      </c>
      <c r="E85" s="5" t="s">
        <v>49</v>
      </c>
      <c r="F85" s="5">
        <v>1</v>
      </c>
    </row>
    <row r="86" spans="1:6" x14ac:dyDescent="0.3">
      <c r="A86" s="3">
        <v>1085</v>
      </c>
      <c r="B86" s="3">
        <v>39</v>
      </c>
      <c r="C86" s="4">
        <v>45838</v>
      </c>
      <c r="D86" s="3" t="s">
        <v>41</v>
      </c>
      <c r="E86" s="3" t="s">
        <v>42</v>
      </c>
      <c r="F86" s="3">
        <v>6</v>
      </c>
    </row>
    <row r="87" spans="1:6" x14ac:dyDescent="0.3">
      <c r="A87" s="5">
        <v>1086</v>
      </c>
      <c r="B87" s="5">
        <v>19</v>
      </c>
      <c r="C87" s="6">
        <v>45825</v>
      </c>
      <c r="D87" s="5" t="s">
        <v>44</v>
      </c>
      <c r="E87" s="5" t="s">
        <v>42</v>
      </c>
      <c r="F87" s="5">
        <v>4</v>
      </c>
    </row>
    <row r="88" spans="1:6" x14ac:dyDescent="0.3">
      <c r="A88" s="3">
        <v>1087</v>
      </c>
      <c r="B88" s="3">
        <v>11</v>
      </c>
      <c r="C88" s="4">
        <v>45789</v>
      </c>
      <c r="D88" s="3" t="s">
        <v>47</v>
      </c>
      <c r="E88" s="3" t="s">
        <v>49</v>
      </c>
      <c r="F88" s="3">
        <v>0</v>
      </c>
    </row>
    <row r="89" spans="1:6" x14ac:dyDescent="0.3">
      <c r="A89" s="5">
        <v>1088</v>
      </c>
      <c r="B89" s="5">
        <v>26</v>
      </c>
      <c r="C89" s="6">
        <v>45943</v>
      </c>
      <c r="D89" s="5" t="s">
        <v>41</v>
      </c>
      <c r="E89" s="5" t="s">
        <v>49</v>
      </c>
      <c r="F89" s="5">
        <v>1</v>
      </c>
    </row>
    <row r="90" spans="1:6" x14ac:dyDescent="0.3">
      <c r="A90" s="3">
        <v>1089</v>
      </c>
      <c r="B90" s="3">
        <v>24</v>
      </c>
      <c r="C90" s="4">
        <v>46002</v>
      </c>
      <c r="D90" s="3" t="s">
        <v>44</v>
      </c>
      <c r="E90" s="3" t="s">
        <v>43</v>
      </c>
      <c r="F90" s="3">
        <v>6</v>
      </c>
    </row>
    <row r="91" spans="1:6" x14ac:dyDescent="0.3">
      <c r="A91" s="5">
        <v>1090</v>
      </c>
      <c r="B91" s="5">
        <v>20</v>
      </c>
      <c r="C91" s="6">
        <v>45990</v>
      </c>
      <c r="D91" s="5" t="s">
        <v>41</v>
      </c>
      <c r="E91" s="5" t="s">
        <v>42</v>
      </c>
      <c r="F91" s="5">
        <v>1</v>
      </c>
    </row>
    <row r="92" spans="1:6" x14ac:dyDescent="0.3">
      <c r="A92" s="3">
        <v>1091</v>
      </c>
      <c r="B92" s="3">
        <v>8</v>
      </c>
      <c r="C92" s="4">
        <v>45707</v>
      </c>
      <c r="D92" s="3" t="s">
        <v>41</v>
      </c>
      <c r="E92" s="3" t="s">
        <v>42</v>
      </c>
      <c r="F92" s="3">
        <v>5</v>
      </c>
    </row>
    <row r="93" spans="1:6" x14ac:dyDescent="0.3">
      <c r="A93" s="5">
        <v>1092</v>
      </c>
      <c r="B93" s="5">
        <v>3</v>
      </c>
      <c r="C93" s="6">
        <v>46011</v>
      </c>
      <c r="D93" s="5" t="s">
        <v>41</v>
      </c>
      <c r="E93" s="5" t="s">
        <v>49</v>
      </c>
      <c r="F93" s="5">
        <v>2</v>
      </c>
    </row>
    <row r="94" spans="1:6" x14ac:dyDescent="0.3">
      <c r="A94" s="3">
        <v>1093</v>
      </c>
      <c r="B94" s="3">
        <v>6</v>
      </c>
      <c r="C94" s="4">
        <v>45997</v>
      </c>
      <c r="D94" s="3" t="s">
        <v>41</v>
      </c>
      <c r="E94" s="3" t="s">
        <v>45</v>
      </c>
      <c r="F94" s="3">
        <v>6</v>
      </c>
    </row>
    <row r="95" spans="1:6" x14ac:dyDescent="0.3">
      <c r="A95" s="5">
        <v>1094</v>
      </c>
      <c r="B95" s="5">
        <v>9</v>
      </c>
      <c r="C95" s="6">
        <v>45947</v>
      </c>
      <c r="D95" s="5" t="s">
        <v>41</v>
      </c>
      <c r="E95" s="5" t="s">
        <v>45</v>
      </c>
      <c r="F95" s="5">
        <v>1</v>
      </c>
    </row>
    <row r="96" spans="1:6" x14ac:dyDescent="0.3">
      <c r="A96" s="3">
        <v>1095</v>
      </c>
      <c r="B96" s="3">
        <v>39</v>
      </c>
      <c r="C96" s="4">
        <v>45659</v>
      </c>
      <c r="D96" s="3" t="s">
        <v>41</v>
      </c>
      <c r="E96" s="3" t="s">
        <v>42</v>
      </c>
      <c r="F96" s="3">
        <v>7</v>
      </c>
    </row>
    <row r="97" spans="1:6" x14ac:dyDescent="0.3">
      <c r="A97" s="5">
        <v>1096</v>
      </c>
      <c r="B97" s="5">
        <v>9</v>
      </c>
      <c r="C97" s="6">
        <v>45665</v>
      </c>
      <c r="D97" s="5" t="s">
        <v>41</v>
      </c>
      <c r="E97" s="5" t="s">
        <v>42</v>
      </c>
      <c r="F97" s="5">
        <v>7</v>
      </c>
    </row>
    <row r="98" spans="1:6" x14ac:dyDescent="0.3">
      <c r="A98" s="3">
        <v>1097</v>
      </c>
      <c r="B98" s="3">
        <v>29</v>
      </c>
      <c r="C98" s="4">
        <v>45843</v>
      </c>
      <c r="D98" s="3" t="s">
        <v>48</v>
      </c>
      <c r="E98" s="3" t="s">
        <v>45</v>
      </c>
      <c r="F98" s="3">
        <v>0</v>
      </c>
    </row>
    <row r="99" spans="1:6" x14ac:dyDescent="0.3">
      <c r="A99" s="5">
        <v>1098</v>
      </c>
      <c r="B99" s="5">
        <v>3</v>
      </c>
      <c r="C99" s="6">
        <v>45995</v>
      </c>
      <c r="D99" s="5" t="s">
        <v>48</v>
      </c>
      <c r="E99" s="5" t="s">
        <v>43</v>
      </c>
      <c r="F99" s="5">
        <v>0</v>
      </c>
    </row>
    <row r="100" spans="1:6" x14ac:dyDescent="0.3">
      <c r="A100" s="3">
        <v>1099</v>
      </c>
      <c r="B100" s="3">
        <v>5</v>
      </c>
      <c r="C100" s="4">
        <v>45722</v>
      </c>
      <c r="D100" s="3" t="s">
        <v>41</v>
      </c>
      <c r="E100" s="3" t="s">
        <v>45</v>
      </c>
      <c r="F100" s="3">
        <v>5</v>
      </c>
    </row>
    <row r="101" spans="1:6" x14ac:dyDescent="0.3">
      <c r="A101" s="5">
        <v>1100</v>
      </c>
      <c r="B101" s="5">
        <v>36</v>
      </c>
      <c r="C101" s="6">
        <v>45768</v>
      </c>
      <c r="D101" s="5" t="s">
        <v>41</v>
      </c>
      <c r="E101" s="5" t="s">
        <v>42</v>
      </c>
      <c r="F101" s="5">
        <v>4</v>
      </c>
    </row>
    <row r="102" spans="1:6" x14ac:dyDescent="0.3">
      <c r="A102" s="3">
        <v>1101</v>
      </c>
      <c r="B102" s="3">
        <v>5</v>
      </c>
      <c r="C102" s="4">
        <v>45704</v>
      </c>
      <c r="D102" s="3" t="s">
        <v>47</v>
      </c>
      <c r="E102" s="3" t="s">
        <v>46</v>
      </c>
      <c r="F102" s="3">
        <v>0</v>
      </c>
    </row>
    <row r="103" spans="1:6" x14ac:dyDescent="0.3">
      <c r="A103" s="5">
        <v>1102</v>
      </c>
      <c r="B103" s="5">
        <v>24</v>
      </c>
      <c r="C103" s="6">
        <v>45724</v>
      </c>
      <c r="D103" s="5" t="s">
        <v>48</v>
      </c>
      <c r="E103" s="5" t="s">
        <v>46</v>
      </c>
      <c r="F103" s="5">
        <v>0</v>
      </c>
    </row>
    <row r="104" spans="1:6" x14ac:dyDescent="0.3">
      <c r="A104" s="3">
        <v>1103</v>
      </c>
      <c r="B104" s="3">
        <v>39</v>
      </c>
      <c r="C104" s="4">
        <v>45817</v>
      </c>
      <c r="D104" s="3" t="s">
        <v>41</v>
      </c>
      <c r="E104" s="3" t="s">
        <v>45</v>
      </c>
      <c r="F104" s="3">
        <v>1</v>
      </c>
    </row>
    <row r="105" spans="1:6" x14ac:dyDescent="0.3">
      <c r="A105" s="5">
        <v>1104</v>
      </c>
      <c r="B105" s="5">
        <v>24</v>
      </c>
      <c r="C105" s="6">
        <v>45716</v>
      </c>
      <c r="D105" s="5" t="s">
        <v>47</v>
      </c>
      <c r="E105" s="5" t="s">
        <v>43</v>
      </c>
      <c r="F105" s="5">
        <v>0</v>
      </c>
    </row>
    <row r="106" spans="1:6" x14ac:dyDescent="0.3">
      <c r="A106" s="3">
        <v>1105</v>
      </c>
      <c r="B106" s="3">
        <v>36</v>
      </c>
      <c r="C106" s="4">
        <v>45671</v>
      </c>
      <c r="D106" s="3" t="s">
        <v>48</v>
      </c>
      <c r="E106" s="3" t="s">
        <v>43</v>
      </c>
      <c r="F106" s="3">
        <v>0</v>
      </c>
    </row>
    <row r="107" spans="1:6" x14ac:dyDescent="0.3">
      <c r="A107" s="5">
        <v>1106</v>
      </c>
      <c r="B107" s="5">
        <v>22</v>
      </c>
      <c r="C107" s="6">
        <v>45837</v>
      </c>
      <c r="D107" s="5" t="s">
        <v>41</v>
      </c>
      <c r="E107" s="5" t="s">
        <v>42</v>
      </c>
      <c r="F107" s="5">
        <v>2</v>
      </c>
    </row>
    <row r="108" spans="1:6" x14ac:dyDescent="0.3">
      <c r="A108" s="3">
        <v>1107</v>
      </c>
      <c r="B108" s="3">
        <v>37</v>
      </c>
      <c r="C108" s="4">
        <v>45963</v>
      </c>
      <c r="D108" s="3" t="s">
        <v>41</v>
      </c>
      <c r="E108" s="3" t="s">
        <v>42</v>
      </c>
      <c r="F108" s="3">
        <v>1</v>
      </c>
    </row>
    <row r="109" spans="1:6" x14ac:dyDescent="0.3">
      <c r="A109" s="5">
        <v>1108</v>
      </c>
      <c r="B109" s="5">
        <v>32</v>
      </c>
      <c r="C109" s="6">
        <v>45968</v>
      </c>
      <c r="D109" s="5" t="s">
        <v>41</v>
      </c>
      <c r="E109" s="5" t="s">
        <v>43</v>
      </c>
      <c r="F109" s="5">
        <v>4</v>
      </c>
    </row>
    <row r="110" spans="1:6" x14ac:dyDescent="0.3">
      <c r="A110" s="3">
        <v>1109</v>
      </c>
      <c r="B110" s="3">
        <v>38</v>
      </c>
      <c r="C110" s="4">
        <v>45907</v>
      </c>
      <c r="D110" s="3" t="s">
        <v>48</v>
      </c>
      <c r="E110" s="3" t="s">
        <v>43</v>
      </c>
      <c r="F110" s="3">
        <v>0</v>
      </c>
    </row>
    <row r="111" spans="1:6" x14ac:dyDescent="0.3">
      <c r="A111" s="5">
        <v>1110</v>
      </c>
      <c r="B111" s="5">
        <v>4</v>
      </c>
      <c r="C111" s="6">
        <v>45661</v>
      </c>
      <c r="D111" s="5" t="s">
        <v>41</v>
      </c>
      <c r="E111" s="5" t="s">
        <v>42</v>
      </c>
      <c r="F111" s="5">
        <v>3</v>
      </c>
    </row>
    <row r="112" spans="1:6" x14ac:dyDescent="0.3">
      <c r="A112" s="3">
        <v>1111</v>
      </c>
      <c r="B112" s="3">
        <v>12</v>
      </c>
      <c r="C112" s="4">
        <v>45724</v>
      </c>
      <c r="D112" s="3" t="s">
        <v>41</v>
      </c>
      <c r="E112" s="3" t="s">
        <v>42</v>
      </c>
      <c r="F112" s="3">
        <v>5</v>
      </c>
    </row>
    <row r="113" spans="1:6" x14ac:dyDescent="0.3">
      <c r="A113" s="5">
        <v>1112</v>
      </c>
      <c r="B113" s="5">
        <v>26</v>
      </c>
      <c r="C113" s="6">
        <v>46021</v>
      </c>
      <c r="D113" s="5" t="s">
        <v>44</v>
      </c>
      <c r="E113" s="5" t="s">
        <v>43</v>
      </c>
      <c r="F113" s="5">
        <v>4</v>
      </c>
    </row>
    <row r="114" spans="1:6" x14ac:dyDescent="0.3">
      <c r="A114" s="3">
        <v>1113</v>
      </c>
      <c r="B114" s="3">
        <v>11</v>
      </c>
      <c r="C114" s="4">
        <v>45974</v>
      </c>
      <c r="D114" s="3" t="s">
        <v>41</v>
      </c>
      <c r="E114" s="3" t="s">
        <v>43</v>
      </c>
      <c r="F114" s="3">
        <v>7</v>
      </c>
    </row>
    <row r="115" spans="1:6" x14ac:dyDescent="0.3">
      <c r="A115" s="5">
        <v>1114</v>
      </c>
      <c r="B115" s="5">
        <v>28</v>
      </c>
      <c r="C115" s="6">
        <v>45959</v>
      </c>
      <c r="D115" s="5" t="s">
        <v>41</v>
      </c>
      <c r="E115" s="5" t="s">
        <v>46</v>
      </c>
      <c r="F115" s="5">
        <v>5</v>
      </c>
    </row>
    <row r="116" spans="1:6" x14ac:dyDescent="0.3">
      <c r="A116" s="3">
        <v>1115</v>
      </c>
      <c r="B116" s="3">
        <v>23</v>
      </c>
      <c r="C116" s="4">
        <v>45988</v>
      </c>
      <c r="D116" s="3" t="s">
        <v>47</v>
      </c>
      <c r="E116" s="3" t="s">
        <v>42</v>
      </c>
      <c r="F116" s="3">
        <v>0</v>
      </c>
    </row>
    <row r="117" spans="1:6" x14ac:dyDescent="0.3">
      <c r="A117" s="5">
        <v>1116</v>
      </c>
      <c r="B117" s="5">
        <v>5</v>
      </c>
      <c r="C117" s="6">
        <v>45748</v>
      </c>
      <c r="D117" s="5" t="s">
        <v>47</v>
      </c>
      <c r="E117" s="5" t="s">
        <v>49</v>
      </c>
      <c r="F117" s="5">
        <v>0</v>
      </c>
    </row>
    <row r="118" spans="1:6" x14ac:dyDescent="0.3">
      <c r="A118" s="3">
        <v>1117</v>
      </c>
      <c r="B118" s="3">
        <v>38</v>
      </c>
      <c r="C118" s="4">
        <v>45686</v>
      </c>
      <c r="D118" s="3" t="s">
        <v>41</v>
      </c>
      <c r="E118" s="3" t="s">
        <v>46</v>
      </c>
      <c r="F118" s="3">
        <v>5</v>
      </c>
    </row>
    <row r="119" spans="1:6" x14ac:dyDescent="0.3">
      <c r="A119" s="5">
        <v>1118</v>
      </c>
      <c r="B119" s="5">
        <v>25</v>
      </c>
      <c r="C119" s="6">
        <v>45894</v>
      </c>
      <c r="D119" s="5" t="s">
        <v>48</v>
      </c>
      <c r="E119" s="5" t="s">
        <v>45</v>
      </c>
      <c r="F119" s="5">
        <v>0</v>
      </c>
    </row>
    <row r="120" spans="1:6" x14ac:dyDescent="0.3">
      <c r="A120" s="3">
        <v>1119</v>
      </c>
      <c r="B120" s="3">
        <v>13</v>
      </c>
      <c r="C120" s="4">
        <v>45822</v>
      </c>
      <c r="D120" s="3" t="s">
        <v>48</v>
      </c>
      <c r="E120" s="3" t="s">
        <v>49</v>
      </c>
      <c r="F120" s="3">
        <v>0</v>
      </c>
    </row>
    <row r="121" spans="1:6" x14ac:dyDescent="0.3">
      <c r="A121" s="5">
        <v>1120</v>
      </c>
      <c r="B121" s="5">
        <v>33</v>
      </c>
      <c r="C121" s="6">
        <v>45988</v>
      </c>
      <c r="D121" s="5" t="s">
        <v>41</v>
      </c>
      <c r="E121" s="5" t="s">
        <v>42</v>
      </c>
      <c r="F121" s="5">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3973B-0103-41B4-BDD1-09E55D924843}">
  <dimension ref="A1:X301"/>
  <sheetViews>
    <sheetView topLeftCell="I1" zoomScale="34" workbookViewId="0">
      <selection activeCell="K9" sqref="K9"/>
    </sheetView>
  </sheetViews>
  <sheetFormatPr defaultRowHeight="14.4" x14ac:dyDescent="0.3"/>
  <cols>
    <col min="1" max="1" width="26.44140625" customWidth="1"/>
    <col min="2" max="2" width="17.33203125" customWidth="1"/>
    <col min="3" max="3" width="21.21875" customWidth="1"/>
    <col min="4" max="4" width="16.6640625" customWidth="1"/>
    <col min="5" max="5" width="19.88671875" customWidth="1"/>
    <col min="6" max="6" width="25.109375" customWidth="1"/>
    <col min="7" max="7" width="19.33203125" customWidth="1"/>
    <col min="8" max="8" width="36.88671875" customWidth="1"/>
    <col min="9" max="9" width="42.77734375" customWidth="1"/>
    <col min="10" max="10" width="33.6640625" customWidth="1"/>
    <col min="11" max="11" width="34.6640625" customWidth="1"/>
    <col min="12" max="12" width="35" customWidth="1"/>
    <col min="13" max="13" width="29.109375" customWidth="1"/>
    <col min="14" max="14" width="36" customWidth="1"/>
    <col min="15" max="15" width="33.33203125" customWidth="1"/>
    <col min="16" max="16" width="36.5546875" customWidth="1"/>
    <col min="17" max="17" width="43.44140625" customWidth="1"/>
    <col min="18" max="18" width="38.5546875" customWidth="1"/>
    <col min="19" max="19" width="42.77734375" customWidth="1"/>
    <col min="20" max="20" width="39.88671875" customWidth="1"/>
    <col min="21" max="21" width="39.21875" customWidth="1"/>
    <col min="22" max="22" width="28.109375" customWidth="1"/>
    <col min="23" max="23" width="53.88671875" customWidth="1"/>
    <col min="24" max="24" width="42.109375" customWidth="1"/>
  </cols>
  <sheetData>
    <row r="1" spans="1:24" ht="21" thickBot="1" x14ac:dyDescent="0.35">
      <c r="A1" s="21" t="s">
        <v>30</v>
      </c>
      <c r="B1" s="22" t="s">
        <v>31</v>
      </c>
      <c r="C1" s="22" t="s">
        <v>0</v>
      </c>
      <c r="D1" s="22" t="s">
        <v>32</v>
      </c>
      <c r="E1" s="22" t="s">
        <v>33</v>
      </c>
      <c r="F1" s="22" t="s">
        <v>34</v>
      </c>
      <c r="G1" s="22" t="s">
        <v>35</v>
      </c>
      <c r="H1" s="22" t="s">
        <v>128</v>
      </c>
      <c r="I1" s="22" t="s">
        <v>129</v>
      </c>
      <c r="J1" s="22" t="s">
        <v>130</v>
      </c>
      <c r="K1" s="22" t="s">
        <v>131</v>
      </c>
      <c r="L1" s="22" t="s">
        <v>132</v>
      </c>
      <c r="M1" s="22" t="s">
        <v>133</v>
      </c>
      <c r="N1" s="22" t="s">
        <v>134</v>
      </c>
      <c r="O1" s="22" t="s">
        <v>135</v>
      </c>
      <c r="P1" s="22" t="s">
        <v>136</v>
      </c>
      <c r="Q1" s="22" t="s">
        <v>137</v>
      </c>
      <c r="R1" s="22" t="s">
        <v>138</v>
      </c>
      <c r="S1" s="22" t="s">
        <v>139</v>
      </c>
      <c r="T1" s="22" t="s">
        <v>140</v>
      </c>
      <c r="U1" s="22" t="s">
        <v>141</v>
      </c>
      <c r="V1" s="22" t="s">
        <v>142</v>
      </c>
      <c r="W1" s="22" t="s">
        <v>143</v>
      </c>
      <c r="X1" s="23" t="s">
        <v>144</v>
      </c>
    </row>
    <row r="2" spans="1:24" x14ac:dyDescent="0.3">
      <c r="A2" s="14">
        <v>1</v>
      </c>
      <c r="B2" s="14">
        <v>1001</v>
      </c>
      <c r="C2" s="14">
        <v>4</v>
      </c>
      <c r="D2" s="14">
        <v>1</v>
      </c>
      <c r="E2" s="14">
        <v>2199</v>
      </c>
      <c r="F2" s="14">
        <v>0.05</v>
      </c>
      <c r="G2" s="14">
        <v>2089</v>
      </c>
      <c r="H2" s="14">
        <v>4</v>
      </c>
      <c r="I2" s="14" t="s">
        <v>9</v>
      </c>
      <c r="J2" s="14" t="s">
        <v>6</v>
      </c>
      <c r="K2" s="14">
        <v>2199</v>
      </c>
      <c r="L2" s="14">
        <v>1250</v>
      </c>
      <c r="M2" s="14">
        <v>1001</v>
      </c>
      <c r="N2" s="14">
        <v>28</v>
      </c>
      <c r="O2" s="15">
        <v>45832</v>
      </c>
      <c r="P2" s="14" t="s">
        <v>41</v>
      </c>
      <c r="Q2" s="14" t="s">
        <v>42</v>
      </c>
      <c r="R2" s="14">
        <v>2</v>
      </c>
      <c r="S2" s="14">
        <v>28</v>
      </c>
      <c r="T2" s="14" t="s">
        <v>115</v>
      </c>
      <c r="U2" s="14" t="s">
        <v>80</v>
      </c>
      <c r="V2" s="14" t="s">
        <v>81</v>
      </c>
      <c r="W2" s="14" t="s">
        <v>58</v>
      </c>
      <c r="X2" s="16">
        <v>45592</v>
      </c>
    </row>
    <row r="3" spans="1:24" x14ac:dyDescent="0.3">
      <c r="A3" s="11">
        <v>2</v>
      </c>
      <c r="B3" s="11">
        <v>1001</v>
      </c>
      <c r="C3" s="11">
        <v>3</v>
      </c>
      <c r="D3" s="11">
        <v>1</v>
      </c>
      <c r="E3" s="11">
        <v>1799</v>
      </c>
      <c r="F3" s="11">
        <v>0</v>
      </c>
      <c r="G3" s="11">
        <v>1799</v>
      </c>
      <c r="H3" s="11">
        <v>3</v>
      </c>
      <c r="I3" s="11" t="s">
        <v>8</v>
      </c>
      <c r="J3" s="11" t="s">
        <v>6</v>
      </c>
      <c r="K3" s="11">
        <v>1799</v>
      </c>
      <c r="L3" s="11">
        <v>980</v>
      </c>
      <c r="M3" s="11">
        <v>1001</v>
      </c>
      <c r="N3" s="11">
        <v>28</v>
      </c>
      <c r="O3" s="12">
        <v>45832</v>
      </c>
      <c r="P3" s="11" t="s">
        <v>41</v>
      </c>
      <c r="Q3" s="11" t="s">
        <v>42</v>
      </c>
      <c r="R3" s="11">
        <v>2</v>
      </c>
      <c r="S3" s="11">
        <v>28</v>
      </c>
      <c r="T3" s="11" t="s">
        <v>115</v>
      </c>
      <c r="U3" s="11" t="s">
        <v>80</v>
      </c>
      <c r="V3" s="11" t="s">
        <v>81</v>
      </c>
      <c r="W3" s="11" t="s">
        <v>58</v>
      </c>
      <c r="X3" s="13">
        <v>45592</v>
      </c>
    </row>
    <row r="4" spans="1:24" x14ac:dyDescent="0.3">
      <c r="A4" s="8">
        <v>3</v>
      </c>
      <c r="B4" s="8">
        <v>1001</v>
      </c>
      <c r="C4" s="8">
        <v>13</v>
      </c>
      <c r="D4" s="8">
        <v>2</v>
      </c>
      <c r="E4" s="8">
        <v>10999</v>
      </c>
      <c r="F4" s="8">
        <v>0.15</v>
      </c>
      <c r="G4" s="8">
        <v>18698</v>
      </c>
      <c r="H4" s="8">
        <v>13</v>
      </c>
      <c r="I4" s="8" t="s">
        <v>22</v>
      </c>
      <c r="J4" s="8" t="s">
        <v>6</v>
      </c>
      <c r="K4" s="8">
        <v>10999</v>
      </c>
      <c r="L4" s="8">
        <v>7900</v>
      </c>
      <c r="M4" s="8">
        <v>1001</v>
      </c>
      <c r="N4" s="8">
        <v>28</v>
      </c>
      <c r="O4" s="9">
        <v>45832</v>
      </c>
      <c r="P4" s="8" t="s">
        <v>41</v>
      </c>
      <c r="Q4" s="8" t="s">
        <v>42</v>
      </c>
      <c r="R4" s="8">
        <v>2</v>
      </c>
      <c r="S4" s="8">
        <v>28</v>
      </c>
      <c r="T4" s="8" t="s">
        <v>115</v>
      </c>
      <c r="U4" s="8" t="s">
        <v>80</v>
      </c>
      <c r="V4" s="8" t="s">
        <v>81</v>
      </c>
      <c r="W4" s="8" t="s">
        <v>58</v>
      </c>
      <c r="X4" s="10">
        <v>45592</v>
      </c>
    </row>
    <row r="5" spans="1:24" x14ac:dyDescent="0.3">
      <c r="A5" s="11">
        <v>18</v>
      </c>
      <c r="B5" s="11">
        <v>1007</v>
      </c>
      <c r="C5" s="11">
        <v>4</v>
      </c>
      <c r="D5" s="11">
        <v>1</v>
      </c>
      <c r="E5" s="11">
        <v>2199</v>
      </c>
      <c r="F5" s="11">
        <v>0.15</v>
      </c>
      <c r="G5" s="11">
        <v>1869</v>
      </c>
      <c r="H5" s="11">
        <v>4</v>
      </c>
      <c r="I5" s="11" t="s">
        <v>9</v>
      </c>
      <c r="J5" s="11" t="s">
        <v>6</v>
      </c>
      <c r="K5" s="11">
        <v>2199</v>
      </c>
      <c r="L5" s="11">
        <v>1250</v>
      </c>
      <c r="M5" s="11">
        <v>1007</v>
      </c>
      <c r="N5" s="11">
        <v>26</v>
      </c>
      <c r="O5" s="12">
        <v>45843</v>
      </c>
      <c r="P5" s="11" t="s">
        <v>41</v>
      </c>
      <c r="Q5" s="11" t="s">
        <v>45</v>
      </c>
      <c r="R5" s="11">
        <v>2</v>
      </c>
      <c r="S5" s="11">
        <v>26</v>
      </c>
      <c r="T5" s="11" t="s">
        <v>113</v>
      </c>
      <c r="U5" s="11" t="s">
        <v>74</v>
      </c>
      <c r="V5" s="11" t="s">
        <v>75</v>
      </c>
      <c r="W5" s="11" t="s">
        <v>62</v>
      </c>
      <c r="X5" s="13">
        <v>45130</v>
      </c>
    </row>
    <row r="6" spans="1:24" x14ac:dyDescent="0.3">
      <c r="A6" s="8">
        <v>16</v>
      </c>
      <c r="B6" s="8">
        <v>1007</v>
      </c>
      <c r="C6" s="8">
        <v>3</v>
      </c>
      <c r="D6" s="8">
        <v>1</v>
      </c>
      <c r="E6" s="8">
        <v>1799</v>
      </c>
      <c r="F6" s="8">
        <v>0.2</v>
      </c>
      <c r="G6" s="8">
        <v>1439</v>
      </c>
      <c r="H6" s="8">
        <v>3</v>
      </c>
      <c r="I6" s="8" t="s">
        <v>8</v>
      </c>
      <c r="J6" s="8" t="s">
        <v>6</v>
      </c>
      <c r="K6" s="8">
        <v>1799</v>
      </c>
      <c r="L6" s="8">
        <v>980</v>
      </c>
      <c r="M6" s="8">
        <v>1007</v>
      </c>
      <c r="N6" s="8">
        <v>26</v>
      </c>
      <c r="O6" s="9">
        <v>45843</v>
      </c>
      <c r="P6" s="8" t="s">
        <v>41</v>
      </c>
      <c r="Q6" s="8" t="s">
        <v>45</v>
      </c>
      <c r="R6" s="8">
        <v>2</v>
      </c>
      <c r="S6" s="8">
        <v>26</v>
      </c>
      <c r="T6" s="8" t="s">
        <v>113</v>
      </c>
      <c r="U6" s="8" t="s">
        <v>74</v>
      </c>
      <c r="V6" s="8" t="s">
        <v>75</v>
      </c>
      <c r="W6" s="8" t="s">
        <v>62</v>
      </c>
      <c r="X6" s="10">
        <v>45130</v>
      </c>
    </row>
    <row r="7" spans="1:24" x14ac:dyDescent="0.3">
      <c r="A7" s="11">
        <v>17</v>
      </c>
      <c r="B7" s="11">
        <v>1007</v>
      </c>
      <c r="C7" s="11">
        <v>2</v>
      </c>
      <c r="D7" s="11">
        <v>1</v>
      </c>
      <c r="E7" s="11">
        <v>2499</v>
      </c>
      <c r="F7" s="11">
        <v>0</v>
      </c>
      <c r="G7" s="11">
        <v>2499</v>
      </c>
      <c r="H7" s="11">
        <v>2</v>
      </c>
      <c r="I7" s="11" t="s">
        <v>7</v>
      </c>
      <c r="J7" s="11" t="s">
        <v>6</v>
      </c>
      <c r="K7" s="11">
        <v>2499</v>
      </c>
      <c r="L7" s="11">
        <v>1500</v>
      </c>
      <c r="M7" s="11">
        <v>1007</v>
      </c>
      <c r="N7" s="11">
        <v>26</v>
      </c>
      <c r="O7" s="12">
        <v>45843</v>
      </c>
      <c r="P7" s="11" t="s">
        <v>41</v>
      </c>
      <c r="Q7" s="11" t="s">
        <v>45</v>
      </c>
      <c r="R7" s="11">
        <v>2</v>
      </c>
      <c r="S7" s="11">
        <v>26</v>
      </c>
      <c r="T7" s="11" t="s">
        <v>113</v>
      </c>
      <c r="U7" s="11" t="s">
        <v>74</v>
      </c>
      <c r="V7" s="11" t="s">
        <v>75</v>
      </c>
      <c r="W7" s="11" t="s">
        <v>62</v>
      </c>
      <c r="X7" s="13">
        <v>45130</v>
      </c>
    </row>
    <row r="8" spans="1:24" x14ac:dyDescent="0.3">
      <c r="A8" s="8">
        <v>19</v>
      </c>
      <c r="B8" s="8">
        <v>1007</v>
      </c>
      <c r="C8" s="8">
        <v>5</v>
      </c>
      <c r="D8" s="8">
        <v>3</v>
      </c>
      <c r="E8" s="8">
        <v>1299</v>
      </c>
      <c r="F8" s="8">
        <v>0.15</v>
      </c>
      <c r="G8" s="8">
        <v>3312</v>
      </c>
      <c r="H8" s="8">
        <v>5</v>
      </c>
      <c r="I8" s="8" t="s">
        <v>10</v>
      </c>
      <c r="J8" s="8" t="s">
        <v>11</v>
      </c>
      <c r="K8" s="8">
        <v>1299</v>
      </c>
      <c r="L8" s="8">
        <v>650</v>
      </c>
      <c r="M8" s="8">
        <v>1007</v>
      </c>
      <c r="N8" s="8">
        <v>26</v>
      </c>
      <c r="O8" s="9">
        <v>45843</v>
      </c>
      <c r="P8" s="8" t="s">
        <v>41</v>
      </c>
      <c r="Q8" s="8" t="s">
        <v>45</v>
      </c>
      <c r="R8" s="8">
        <v>2</v>
      </c>
      <c r="S8" s="8">
        <v>26</v>
      </c>
      <c r="T8" s="8" t="s">
        <v>113</v>
      </c>
      <c r="U8" s="8" t="s">
        <v>74</v>
      </c>
      <c r="V8" s="8" t="s">
        <v>75</v>
      </c>
      <c r="W8" s="8" t="s">
        <v>62</v>
      </c>
      <c r="X8" s="10">
        <v>45130</v>
      </c>
    </row>
    <row r="9" spans="1:24" x14ac:dyDescent="0.3">
      <c r="A9" s="11">
        <v>14</v>
      </c>
      <c r="B9" s="11">
        <v>1006</v>
      </c>
      <c r="C9" s="11">
        <v>8</v>
      </c>
      <c r="D9" s="11">
        <v>1</v>
      </c>
      <c r="E9" s="11">
        <v>299</v>
      </c>
      <c r="F9" s="11">
        <v>0.2</v>
      </c>
      <c r="G9" s="11">
        <v>239</v>
      </c>
      <c r="H9" s="11">
        <v>8</v>
      </c>
      <c r="I9" s="11" t="s">
        <v>15</v>
      </c>
      <c r="J9" s="11" t="s">
        <v>16</v>
      </c>
      <c r="K9" s="11">
        <v>299</v>
      </c>
      <c r="L9" s="11">
        <v>110</v>
      </c>
      <c r="M9" s="11">
        <v>1006</v>
      </c>
      <c r="N9" s="11">
        <v>26</v>
      </c>
      <c r="O9" s="12">
        <v>45987</v>
      </c>
      <c r="P9" s="11" t="s">
        <v>41</v>
      </c>
      <c r="Q9" s="11" t="s">
        <v>43</v>
      </c>
      <c r="R9" s="11">
        <v>2</v>
      </c>
      <c r="S9" s="11">
        <v>26</v>
      </c>
      <c r="T9" s="11" t="s">
        <v>113</v>
      </c>
      <c r="U9" s="11" t="s">
        <v>74</v>
      </c>
      <c r="V9" s="11" t="s">
        <v>75</v>
      </c>
      <c r="W9" s="11" t="s">
        <v>62</v>
      </c>
      <c r="X9" s="13">
        <v>45130</v>
      </c>
    </row>
    <row r="10" spans="1:24" x14ac:dyDescent="0.3">
      <c r="A10" s="8">
        <v>15</v>
      </c>
      <c r="B10" s="8">
        <v>1006</v>
      </c>
      <c r="C10" s="8">
        <v>18</v>
      </c>
      <c r="D10" s="8">
        <v>1</v>
      </c>
      <c r="E10" s="8">
        <v>3299</v>
      </c>
      <c r="F10" s="8">
        <v>0.15</v>
      </c>
      <c r="G10" s="8">
        <v>2804</v>
      </c>
      <c r="H10" s="8">
        <v>18</v>
      </c>
      <c r="I10" s="8" t="s">
        <v>27</v>
      </c>
      <c r="J10" s="8" t="s">
        <v>19</v>
      </c>
      <c r="K10" s="8">
        <v>3299</v>
      </c>
      <c r="L10" s="8">
        <v>2050</v>
      </c>
      <c r="M10" s="8">
        <v>1006</v>
      </c>
      <c r="N10" s="8">
        <v>26</v>
      </c>
      <c r="O10" s="9">
        <v>45987</v>
      </c>
      <c r="P10" s="8" t="s">
        <v>41</v>
      </c>
      <c r="Q10" s="8" t="s">
        <v>43</v>
      </c>
      <c r="R10" s="8">
        <v>2</v>
      </c>
      <c r="S10" s="8">
        <v>26</v>
      </c>
      <c r="T10" s="8" t="s">
        <v>113</v>
      </c>
      <c r="U10" s="8" t="s">
        <v>74</v>
      </c>
      <c r="V10" s="8" t="s">
        <v>75</v>
      </c>
      <c r="W10" s="8" t="s">
        <v>62</v>
      </c>
      <c r="X10" s="10">
        <v>45130</v>
      </c>
    </row>
    <row r="11" spans="1:24" x14ac:dyDescent="0.3">
      <c r="A11" s="11">
        <v>9</v>
      </c>
      <c r="B11" s="11">
        <v>1004</v>
      </c>
      <c r="C11" s="11">
        <v>6</v>
      </c>
      <c r="D11" s="11">
        <v>1</v>
      </c>
      <c r="E11" s="11">
        <v>1899</v>
      </c>
      <c r="F11" s="11">
        <v>0.2</v>
      </c>
      <c r="G11" s="11">
        <v>1519</v>
      </c>
      <c r="H11" s="11">
        <v>6</v>
      </c>
      <c r="I11" s="11" t="s">
        <v>12</v>
      </c>
      <c r="J11" s="11" t="s">
        <v>11</v>
      </c>
      <c r="K11" s="11">
        <v>1899</v>
      </c>
      <c r="L11" s="11">
        <v>950</v>
      </c>
      <c r="M11" s="11">
        <v>1004</v>
      </c>
      <c r="N11" s="11">
        <v>5</v>
      </c>
      <c r="O11" s="12">
        <v>45969</v>
      </c>
      <c r="P11" s="11" t="s">
        <v>44</v>
      </c>
      <c r="Q11" s="11" t="s">
        <v>45</v>
      </c>
      <c r="R11" s="11">
        <v>2</v>
      </c>
      <c r="S11" s="11">
        <v>5</v>
      </c>
      <c r="T11" s="11" t="s">
        <v>70</v>
      </c>
      <c r="U11" s="11" t="s">
        <v>71</v>
      </c>
      <c r="V11" s="11" t="s">
        <v>72</v>
      </c>
      <c r="W11" s="11" t="s">
        <v>62</v>
      </c>
      <c r="X11" s="13">
        <v>45208</v>
      </c>
    </row>
    <row r="12" spans="1:24" x14ac:dyDescent="0.3">
      <c r="A12" s="8">
        <v>10</v>
      </c>
      <c r="B12" s="8">
        <v>1004</v>
      </c>
      <c r="C12" s="8">
        <v>15</v>
      </c>
      <c r="D12" s="8">
        <v>2</v>
      </c>
      <c r="E12" s="8">
        <v>349</v>
      </c>
      <c r="F12" s="8">
        <v>0</v>
      </c>
      <c r="G12" s="8">
        <v>698</v>
      </c>
      <c r="H12" s="8">
        <v>15</v>
      </c>
      <c r="I12" s="8" t="s">
        <v>24</v>
      </c>
      <c r="J12" s="8" t="s">
        <v>11</v>
      </c>
      <c r="K12" s="8">
        <v>349</v>
      </c>
      <c r="L12" s="8">
        <v>120</v>
      </c>
      <c r="M12" s="8">
        <v>1004</v>
      </c>
      <c r="N12" s="8">
        <v>5</v>
      </c>
      <c r="O12" s="9">
        <v>45969</v>
      </c>
      <c r="P12" s="8" t="s">
        <v>44</v>
      </c>
      <c r="Q12" s="8" t="s">
        <v>45</v>
      </c>
      <c r="R12" s="8">
        <v>2</v>
      </c>
      <c r="S12" s="8">
        <v>5</v>
      </c>
      <c r="T12" s="8" t="s">
        <v>70</v>
      </c>
      <c r="U12" s="8" t="s">
        <v>71</v>
      </c>
      <c r="V12" s="8" t="s">
        <v>72</v>
      </c>
      <c r="W12" s="8" t="s">
        <v>62</v>
      </c>
      <c r="X12" s="10">
        <v>45208</v>
      </c>
    </row>
    <row r="13" spans="1:24" x14ac:dyDescent="0.3">
      <c r="A13" s="11">
        <v>28</v>
      </c>
      <c r="B13" s="11">
        <v>1012</v>
      </c>
      <c r="C13" s="11">
        <v>16</v>
      </c>
      <c r="D13" s="11">
        <v>1</v>
      </c>
      <c r="E13" s="11">
        <v>1599</v>
      </c>
      <c r="F13" s="11">
        <v>0.15</v>
      </c>
      <c r="G13" s="11">
        <v>1359</v>
      </c>
      <c r="H13" s="11">
        <v>16</v>
      </c>
      <c r="I13" s="11" t="s">
        <v>25</v>
      </c>
      <c r="J13" s="11" t="s">
        <v>6</v>
      </c>
      <c r="K13" s="11">
        <v>1599</v>
      </c>
      <c r="L13" s="11">
        <v>900</v>
      </c>
      <c r="M13" s="11">
        <v>1012</v>
      </c>
      <c r="N13" s="11">
        <v>5</v>
      </c>
      <c r="O13" s="12">
        <v>45930</v>
      </c>
      <c r="P13" s="11" t="s">
        <v>47</v>
      </c>
      <c r="Q13" s="11" t="s">
        <v>42</v>
      </c>
      <c r="R13" s="11">
        <v>0</v>
      </c>
      <c r="S13" s="11">
        <v>5</v>
      </c>
      <c r="T13" s="11" t="s">
        <v>70</v>
      </c>
      <c r="U13" s="11" t="s">
        <v>71</v>
      </c>
      <c r="V13" s="11" t="s">
        <v>72</v>
      </c>
      <c r="W13" s="11" t="s">
        <v>62</v>
      </c>
      <c r="X13" s="13">
        <v>45208</v>
      </c>
    </row>
    <row r="14" spans="1:24" x14ac:dyDescent="0.3">
      <c r="A14" s="8">
        <v>29</v>
      </c>
      <c r="B14" s="8">
        <v>1012</v>
      </c>
      <c r="C14" s="8">
        <v>18</v>
      </c>
      <c r="D14" s="8">
        <v>2</v>
      </c>
      <c r="E14" s="8">
        <v>3299</v>
      </c>
      <c r="F14" s="8">
        <v>0.1</v>
      </c>
      <c r="G14" s="8">
        <v>5938</v>
      </c>
      <c r="H14" s="8">
        <v>18</v>
      </c>
      <c r="I14" s="8" t="s">
        <v>27</v>
      </c>
      <c r="J14" s="8" t="s">
        <v>19</v>
      </c>
      <c r="K14" s="8">
        <v>3299</v>
      </c>
      <c r="L14" s="8">
        <v>2050</v>
      </c>
      <c r="M14" s="8">
        <v>1012</v>
      </c>
      <c r="N14" s="8">
        <v>5</v>
      </c>
      <c r="O14" s="9">
        <v>45930</v>
      </c>
      <c r="P14" s="8" t="s">
        <v>47</v>
      </c>
      <c r="Q14" s="8" t="s">
        <v>42</v>
      </c>
      <c r="R14" s="8">
        <v>0</v>
      </c>
      <c r="S14" s="8">
        <v>5</v>
      </c>
      <c r="T14" s="8" t="s">
        <v>70</v>
      </c>
      <c r="U14" s="8" t="s">
        <v>71</v>
      </c>
      <c r="V14" s="8" t="s">
        <v>72</v>
      </c>
      <c r="W14" s="8" t="s">
        <v>62</v>
      </c>
      <c r="X14" s="10">
        <v>45208</v>
      </c>
    </row>
    <row r="15" spans="1:24" x14ac:dyDescent="0.3">
      <c r="A15" s="11">
        <v>39</v>
      </c>
      <c r="B15" s="11">
        <v>1017</v>
      </c>
      <c r="C15" s="11">
        <v>8</v>
      </c>
      <c r="D15" s="11">
        <v>1</v>
      </c>
      <c r="E15" s="11">
        <v>299</v>
      </c>
      <c r="F15" s="11">
        <v>0.15</v>
      </c>
      <c r="G15" s="11">
        <v>254</v>
      </c>
      <c r="H15" s="11">
        <v>8</v>
      </c>
      <c r="I15" s="11" t="s">
        <v>15</v>
      </c>
      <c r="J15" s="11" t="s">
        <v>16</v>
      </c>
      <c r="K15" s="11">
        <v>299</v>
      </c>
      <c r="L15" s="11">
        <v>110</v>
      </c>
      <c r="M15" s="11">
        <v>1017</v>
      </c>
      <c r="N15" s="11">
        <v>7</v>
      </c>
      <c r="O15" s="12">
        <v>45689</v>
      </c>
      <c r="P15" s="11" t="s">
        <v>41</v>
      </c>
      <c r="Q15" s="11" t="s">
        <v>43</v>
      </c>
      <c r="R15" s="11">
        <v>6</v>
      </c>
      <c r="S15" s="11">
        <v>7</v>
      </c>
      <c r="T15" s="11" t="s">
        <v>76</v>
      </c>
      <c r="U15" s="11" t="s">
        <v>77</v>
      </c>
      <c r="V15" s="11" t="s">
        <v>78</v>
      </c>
      <c r="W15" s="11" t="s">
        <v>58</v>
      </c>
      <c r="X15" s="13">
        <v>45155</v>
      </c>
    </row>
    <row r="16" spans="1:24" x14ac:dyDescent="0.3">
      <c r="A16" s="8">
        <v>6</v>
      </c>
      <c r="B16" s="8">
        <v>1002</v>
      </c>
      <c r="C16" s="8">
        <v>3</v>
      </c>
      <c r="D16" s="8">
        <v>2</v>
      </c>
      <c r="E16" s="8">
        <v>1799</v>
      </c>
      <c r="F16" s="8">
        <v>0</v>
      </c>
      <c r="G16" s="8">
        <v>3598</v>
      </c>
      <c r="H16" s="8">
        <v>3</v>
      </c>
      <c r="I16" s="8" t="s">
        <v>8</v>
      </c>
      <c r="J16" s="8" t="s">
        <v>6</v>
      </c>
      <c r="K16" s="8">
        <v>1799</v>
      </c>
      <c r="L16" s="8">
        <v>980</v>
      </c>
      <c r="M16" s="8">
        <v>1002</v>
      </c>
      <c r="N16" s="8">
        <v>8</v>
      </c>
      <c r="O16" s="9">
        <v>45851</v>
      </c>
      <c r="P16" s="8" t="s">
        <v>41</v>
      </c>
      <c r="Q16" s="8" t="s">
        <v>43</v>
      </c>
      <c r="R16" s="8">
        <v>5</v>
      </c>
      <c r="S16" s="8">
        <v>8</v>
      </c>
      <c r="T16" s="8" t="s">
        <v>79</v>
      </c>
      <c r="U16" s="8" t="s">
        <v>80</v>
      </c>
      <c r="V16" s="8" t="s">
        <v>81</v>
      </c>
      <c r="W16" s="8" t="s">
        <v>62</v>
      </c>
      <c r="X16" s="10">
        <v>45069</v>
      </c>
    </row>
    <row r="17" spans="1:24" x14ac:dyDescent="0.3">
      <c r="A17" s="11">
        <v>4</v>
      </c>
      <c r="B17" s="11">
        <v>1002</v>
      </c>
      <c r="C17" s="11">
        <v>19</v>
      </c>
      <c r="D17" s="11">
        <v>1</v>
      </c>
      <c r="E17" s="11">
        <v>499</v>
      </c>
      <c r="F17" s="11">
        <v>0</v>
      </c>
      <c r="G17" s="11">
        <v>499</v>
      </c>
      <c r="H17" s="11">
        <v>19</v>
      </c>
      <c r="I17" s="11" t="s">
        <v>28</v>
      </c>
      <c r="J17" s="11" t="s">
        <v>11</v>
      </c>
      <c r="K17" s="11">
        <v>499</v>
      </c>
      <c r="L17" s="11">
        <v>220</v>
      </c>
      <c r="M17" s="11">
        <v>1002</v>
      </c>
      <c r="N17" s="11">
        <v>8</v>
      </c>
      <c r="O17" s="12">
        <v>45851</v>
      </c>
      <c r="P17" s="11" t="s">
        <v>41</v>
      </c>
      <c r="Q17" s="11" t="s">
        <v>43</v>
      </c>
      <c r="R17" s="11">
        <v>5</v>
      </c>
      <c r="S17" s="11">
        <v>8</v>
      </c>
      <c r="T17" s="11" t="s">
        <v>79</v>
      </c>
      <c r="U17" s="11" t="s">
        <v>80</v>
      </c>
      <c r="V17" s="11" t="s">
        <v>81</v>
      </c>
      <c r="W17" s="11" t="s">
        <v>62</v>
      </c>
      <c r="X17" s="13">
        <v>45069</v>
      </c>
    </row>
    <row r="18" spans="1:24" x14ac:dyDescent="0.3">
      <c r="A18" s="8">
        <v>5</v>
      </c>
      <c r="B18" s="8">
        <v>1002</v>
      </c>
      <c r="C18" s="8">
        <v>7</v>
      </c>
      <c r="D18" s="8">
        <v>2</v>
      </c>
      <c r="E18" s="8">
        <v>999</v>
      </c>
      <c r="F18" s="8">
        <v>0</v>
      </c>
      <c r="G18" s="8">
        <v>1998</v>
      </c>
      <c r="H18" s="8">
        <v>7</v>
      </c>
      <c r="I18" s="8" t="s">
        <v>13</v>
      </c>
      <c r="J18" s="8" t="s">
        <v>14</v>
      </c>
      <c r="K18" s="8">
        <v>999</v>
      </c>
      <c r="L18" s="8">
        <v>480</v>
      </c>
      <c r="M18" s="8">
        <v>1002</v>
      </c>
      <c r="N18" s="8">
        <v>8</v>
      </c>
      <c r="O18" s="9">
        <v>45851</v>
      </c>
      <c r="P18" s="8" t="s">
        <v>41</v>
      </c>
      <c r="Q18" s="8" t="s">
        <v>43</v>
      </c>
      <c r="R18" s="8">
        <v>5</v>
      </c>
      <c r="S18" s="8">
        <v>8</v>
      </c>
      <c r="T18" s="8" t="s">
        <v>79</v>
      </c>
      <c r="U18" s="8" t="s">
        <v>80</v>
      </c>
      <c r="V18" s="8" t="s">
        <v>81</v>
      </c>
      <c r="W18" s="8" t="s">
        <v>62</v>
      </c>
      <c r="X18" s="10">
        <v>45069</v>
      </c>
    </row>
    <row r="19" spans="1:24" x14ac:dyDescent="0.3">
      <c r="A19" s="11">
        <v>26</v>
      </c>
      <c r="B19" s="11">
        <v>1011</v>
      </c>
      <c r="C19" s="11">
        <v>2</v>
      </c>
      <c r="D19" s="11">
        <v>2</v>
      </c>
      <c r="E19" s="11">
        <v>2499</v>
      </c>
      <c r="F19" s="11">
        <v>0</v>
      </c>
      <c r="G19" s="11">
        <v>4998</v>
      </c>
      <c r="H19" s="11">
        <v>2</v>
      </c>
      <c r="I19" s="11" t="s">
        <v>7</v>
      </c>
      <c r="J19" s="11" t="s">
        <v>6</v>
      </c>
      <c r="K19" s="11">
        <v>2499</v>
      </c>
      <c r="L19" s="11">
        <v>1500</v>
      </c>
      <c r="M19" s="11">
        <v>1011</v>
      </c>
      <c r="N19" s="11">
        <v>8</v>
      </c>
      <c r="O19" s="12">
        <v>45843</v>
      </c>
      <c r="P19" s="11" t="s">
        <v>47</v>
      </c>
      <c r="Q19" s="11" t="s">
        <v>43</v>
      </c>
      <c r="R19" s="11">
        <v>0</v>
      </c>
      <c r="S19" s="11">
        <v>8</v>
      </c>
      <c r="T19" s="11" t="s">
        <v>79</v>
      </c>
      <c r="U19" s="11" t="s">
        <v>80</v>
      </c>
      <c r="V19" s="11" t="s">
        <v>81</v>
      </c>
      <c r="W19" s="11" t="s">
        <v>62</v>
      </c>
      <c r="X19" s="13">
        <v>45069</v>
      </c>
    </row>
    <row r="20" spans="1:24" x14ac:dyDescent="0.3">
      <c r="A20" s="8">
        <v>27</v>
      </c>
      <c r="B20" s="8">
        <v>1011</v>
      </c>
      <c r="C20" s="8">
        <v>8</v>
      </c>
      <c r="D20" s="8">
        <v>1</v>
      </c>
      <c r="E20" s="8">
        <v>299</v>
      </c>
      <c r="F20" s="8">
        <v>0.1</v>
      </c>
      <c r="G20" s="8">
        <v>269</v>
      </c>
      <c r="H20" s="8">
        <v>8</v>
      </c>
      <c r="I20" s="8" t="s">
        <v>15</v>
      </c>
      <c r="J20" s="8" t="s">
        <v>16</v>
      </c>
      <c r="K20" s="8">
        <v>299</v>
      </c>
      <c r="L20" s="8">
        <v>110</v>
      </c>
      <c r="M20" s="8">
        <v>1011</v>
      </c>
      <c r="N20" s="8">
        <v>8</v>
      </c>
      <c r="O20" s="9">
        <v>45843</v>
      </c>
      <c r="P20" s="8" t="s">
        <v>47</v>
      </c>
      <c r="Q20" s="8" t="s">
        <v>43</v>
      </c>
      <c r="R20" s="8">
        <v>0</v>
      </c>
      <c r="S20" s="8">
        <v>8</v>
      </c>
      <c r="T20" s="8" t="s">
        <v>79</v>
      </c>
      <c r="U20" s="8" t="s">
        <v>80</v>
      </c>
      <c r="V20" s="8" t="s">
        <v>81</v>
      </c>
      <c r="W20" s="8" t="s">
        <v>62</v>
      </c>
      <c r="X20" s="10">
        <v>45069</v>
      </c>
    </row>
    <row r="21" spans="1:24" x14ac:dyDescent="0.3">
      <c r="A21" s="11">
        <v>21</v>
      </c>
      <c r="B21" s="11">
        <v>1009</v>
      </c>
      <c r="C21" s="11">
        <v>1</v>
      </c>
      <c r="D21" s="11">
        <v>1</v>
      </c>
      <c r="E21" s="11">
        <v>799</v>
      </c>
      <c r="F21" s="11">
        <v>0</v>
      </c>
      <c r="G21" s="11">
        <v>799</v>
      </c>
      <c r="H21" s="11">
        <v>1</v>
      </c>
      <c r="I21" s="11" t="s">
        <v>5</v>
      </c>
      <c r="J21" s="11" t="s">
        <v>6</v>
      </c>
      <c r="K21" s="11">
        <v>799</v>
      </c>
      <c r="L21" s="11">
        <v>420</v>
      </c>
      <c r="M21" s="11">
        <v>1009</v>
      </c>
      <c r="N21" s="11">
        <v>22</v>
      </c>
      <c r="O21" s="12">
        <v>45715</v>
      </c>
      <c r="P21" s="11" t="s">
        <v>41</v>
      </c>
      <c r="Q21" s="11" t="s">
        <v>42</v>
      </c>
      <c r="R21" s="11">
        <v>4</v>
      </c>
      <c r="S21" s="11">
        <v>22</v>
      </c>
      <c r="T21" s="11" t="s">
        <v>109</v>
      </c>
      <c r="U21" s="11" t="s">
        <v>60</v>
      </c>
      <c r="V21" s="11" t="s">
        <v>61</v>
      </c>
      <c r="W21" s="11" t="s">
        <v>58</v>
      </c>
      <c r="X21" s="13">
        <v>45444</v>
      </c>
    </row>
    <row r="22" spans="1:24" x14ac:dyDescent="0.3">
      <c r="A22" s="8">
        <v>22</v>
      </c>
      <c r="B22" s="8">
        <v>1009</v>
      </c>
      <c r="C22" s="8">
        <v>9</v>
      </c>
      <c r="D22" s="8">
        <v>2</v>
      </c>
      <c r="E22" s="8">
        <v>199</v>
      </c>
      <c r="F22" s="8">
        <v>0.05</v>
      </c>
      <c r="G22" s="8">
        <v>378</v>
      </c>
      <c r="H22" s="8">
        <v>9</v>
      </c>
      <c r="I22" s="8" t="s">
        <v>17</v>
      </c>
      <c r="J22" s="8" t="s">
        <v>16</v>
      </c>
      <c r="K22" s="8">
        <v>199</v>
      </c>
      <c r="L22" s="8">
        <v>65</v>
      </c>
      <c r="M22" s="8">
        <v>1009</v>
      </c>
      <c r="N22" s="8">
        <v>22</v>
      </c>
      <c r="O22" s="9">
        <v>45715</v>
      </c>
      <c r="P22" s="8" t="s">
        <v>41</v>
      </c>
      <c r="Q22" s="8" t="s">
        <v>42</v>
      </c>
      <c r="R22" s="8">
        <v>4</v>
      </c>
      <c r="S22" s="8">
        <v>22</v>
      </c>
      <c r="T22" s="8" t="s">
        <v>109</v>
      </c>
      <c r="U22" s="8" t="s">
        <v>60</v>
      </c>
      <c r="V22" s="8" t="s">
        <v>61</v>
      </c>
      <c r="W22" s="8" t="s">
        <v>58</v>
      </c>
      <c r="X22" s="10">
        <v>45444</v>
      </c>
    </row>
    <row r="23" spans="1:24" x14ac:dyDescent="0.3">
      <c r="A23" s="11">
        <v>23</v>
      </c>
      <c r="B23" s="11">
        <v>1009</v>
      </c>
      <c r="C23" s="11">
        <v>17</v>
      </c>
      <c r="D23" s="11">
        <v>2</v>
      </c>
      <c r="E23" s="11">
        <v>8499</v>
      </c>
      <c r="F23" s="11">
        <v>0.15</v>
      </c>
      <c r="G23" s="11">
        <v>14448</v>
      </c>
      <c r="H23" s="11">
        <v>17</v>
      </c>
      <c r="I23" s="11" t="s">
        <v>26</v>
      </c>
      <c r="J23" s="11" t="s">
        <v>14</v>
      </c>
      <c r="K23" s="11">
        <v>8499</v>
      </c>
      <c r="L23" s="11">
        <v>6100</v>
      </c>
      <c r="M23" s="11">
        <v>1009</v>
      </c>
      <c r="N23" s="11">
        <v>22</v>
      </c>
      <c r="O23" s="12">
        <v>45715</v>
      </c>
      <c r="P23" s="11" t="s">
        <v>41</v>
      </c>
      <c r="Q23" s="11" t="s">
        <v>42</v>
      </c>
      <c r="R23" s="11">
        <v>4</v>
      </c>
      <c r="S23" s="11">
        <v>22</v>
      </c>
      <c r="T23" s="11" t="s">
        <v>109</v>
      </c>
      <c r="U23" s="11" t="s">
        <v>60</v>
      </c>
      <c r="V23" s="11" t="s">
        <v>61</v>
      </c>
      <c r="W23" s="11" t="s">
        <v>58</v>
      </c>
      <c r="X23" s="13">
        <v>45444</v>
      </c>
    </row>
    <row r="24" spans="1:24" x14ac:dyDescent="0.3">
      <c r="A24" s="8">
        <v>24</v>
      </c>
      <c r="B24" s="8">
        <v>1009</v>
      </c>
      <c r="C24" s="8">
        <v>6</v>
      </c>
      <c r="D24" s="8">
        <v>1</v>
      </c>
      <c r="E24" s="8">
        <v>1899</v>
      </c>
      <c r="F24" s="8">
        <v>0</v>
      </c>
      <c r="G24" s="8">
        <v>1899</v>
      </c>
      <c r="H24" s="8">
        <v>6</v>
      </c>
      <c r="I24" s="8" t="s">
        <v>12</v>
      </c>
      <c r="J24" s="8" t="s">
        <v>11</v>
      </c>
      <c r="K24" s="8">
        <v>1899</v>
      </c>
      <c r="L24" s="8">
        <v>950</v>
      </c>
      <c r="M24" s="8">
        <v>1009</v>
      </c>
      <c r="N24" s="8">
        <v>22</v>
      </c>
      <c r="O24" s="9">
        <v>45715</v>
      </c>
      <c r="P24" s="8" t="s">
        <v>41</v>
      </c>
      <c r="Q24" s="8" t="s">
        <v>42</v>
      </c>
      <c r="R24" s="8">
        <v>4</v>
      </c>
      <c r="S24" s="8">
        <v>22</v>
      </c>
      <c r="T24" s="8" t="s">
        <v>109</v>
      </c>
      <c r="U24" s="8" t="s">
        <v>60</v>
      </c>
      <c r="V24" s="8" t="s">
        <v>61</v>
      </c>
      <c r="W24" s="8" t="s">
        <v>58</v>
      </c>
      <c r="X24" s="10">
        <v>45444</v>
      </c>
    </row>
    <row r="25" spans="1:24" x14ac:dyDescent="0.3">
      <c r="A25" s="11">
        <v>30</v>
      </c>
      <c r="B25" s="11">
        <v>1013</v>
      </c>
      <c r="C25" s="11">
        <v>13</v>
      </c>
      <c r="D25" s="11">
        <v>2</v>
      </c>
      <c r="E25" s="11">
        <v>10999</v>
      </c>
      <c r="F25" s="11">
        <v>0.1</v>
      </c>
      <c r="G25" s="11">
        <v>19798</v>
      </c>
      <c r="H25" s="11">
        <v>13</v>
      </c>
      <c r="I25" s="11" t="s">
        <v>22</v>
      </c>
      <c r="J25" s="11" t="s">
        <v>6</v>
      </c>
      <c r="K25" s="11">
        <v>10999</v>
      </c>
      <c r="L25" s="11">
        <v>7900</v>
      </c>
      <c r="M25" s="11">
        <v>1013</v>
      </c>
      <c r="N25" s="11">
        <v>14</v>
      </c>
      <c r="O25" s="12">
        <v>45934</v>
      </c>
      <c r="P25" s="11" t="s">
        <v>47</v>
      </c>
      <c r="Q25" s="11" t="s">
        <v>42</v>
      </c>
      <c r="R25" s="11">
        <v>0</v>
      </c>
      <c r="S25" s="11">
        <v>14</v>
      </c>
      <c r="T25" s="11" t="s">
        <v>94</v>
      </c>
      <c r="U25" s="11" t="s">
        <v>95</v>
      </c>
      <c r="V25" s="11" t="s">
        <v>69</v>
      </c>
      <c r="W25" s="11" t="s">
        <v>62</v>
      </c>
      <c r="X25" s="13">
        <v>45016</v>
      </c>
    </row>
    <row r="26" spans="1:24" x14ac:dyDescent="0.3">
      <c r="A26" s="8">
        <v>31</v>
      </c>
      <c r="B26" s="8">
        <v>1013</v>
      </c>
      <c r="C26" s="8">
        <v>12</v>
      </c>
      <c r="D26" s="8">
        <v>1</v>
      </c>
      <c r="E26" s="8">
        <v>399</v>
      </c>
      <c r="F26" s="8">
        <v>0</v>
      </c>
      <c r="G26" s="8">
        <v>399</v>
      </c>
      <c r="H26" s="8">
        <v>12</v>
      </c>
      <c r="I26" s="8" t="s">
        <v>21</v>
      </c>
      <c r="J26" s="8" t="s">
        <v>14</v>
      </c>
      <c r="K26" s="8">
        <v>399</v>
      </c>
      <c r="L26" s="8">
        <v>140</v>
      </c>
      <c r="M26" s="8">
        <v>1013</v>
      </c>
      <c r="N26" s="8">
        <v>14</v>
      </c>
      <c r="O26" s="9">
        <v>45934</v>
      </c>
      <c r="P26" s="8" t="s">
        <v>47</v>
      </c>
      <c r="Q26" s="8" t="s">
        <v>42</v>
      </c>
      <c r="R26" s="8">
        <v>0</v>
      </c>
      <c r="S26" s="8">
        <v>14</v>
      </c>
      <c r="T26" s="8" t="s">
        <v>94</v>
      </c>
      <c r="U26" s="8" t="s">
        <v>95</v>
      </c>
      <c r="V26" s="8" t="s">
        <v>69</v>
      </c>
      <c r="W26" s="8" t="s">
        <v>62</v>
      </c>
      <c r="X26" s="10">
        <v>45016</v>
      </c>
    </row>
    <row r="27" spans="1:24" x14ac:dyDescent="0.3">
      <c r="A27" s="11">
        <v>32</v>
      </c>
      <c r="B27" s="11">
        <v>1013</v>
      </c>
      <c r="C27" s="11">
        <v>15</v>
      </c>
      <c r="D27" s="11">
        <v>1</v>
      </c>
      <c r="E27" s="11">
        <v>349</v>
      </c>
      <c r="F27" s="11">
        <v>0</v>
      </c>
      <c r="G27" s="11">
        <v>349</v>
      </c>
      <c r="H27" s="11">
        <v>15</v>
      </c>
      <c r="I27" s="11" t="s">
        <v>24</v>
      </c>
      <c r="J27" s="11" t="s">
        <v>11</v>
      </c>
      <c r="K27" s="11">
        <v>349</v>
      </c>
      <c r="L27" s="11">
        <v>120</v>
      </c>
      <c r="M27" s="11">
        <v>1013</v>
      </c>
      <c r="N27" s="11">
        <v>14</v>
      </c>
      <c r="O27" s="12">
        <v>45934</v>
      </c>
      <c r="P27" s="11" t="s">
        <v>47</v>
      </c>
      <c r="Q27" s="11" t="s">
        <v>42</v>
      </c>
      <c r="R27" s="11">
        <v>0</v>
      </c>
      <c r="S27" s="11">
        <v>14</v>
      </c>
      <c r="T27" s="11" t="s">
        <v>94</v>
      </c>
      <c r="U27" s="11" t="s">
        <v>95</v>
      </c>
      <c r="V27" s="11" t="s">
        <v>69</v>
      </c>
      <c r="W27" s="11" t="s">
        <v>62</v>
      </c>
      <c r="X27" s="13">
        <v>45016</v>
      </c>
    </row>
    <row r="28" spans="1:24" x14ac:dyDescent="0.3">
      <c r="A28" s="8">
        <v>7</v>
      </c>
      <c r="B28" s="8">
        <v>1003</v>
      </c>
      <c r="C28" s="8">
        <v>12</v>
      </c>
      <c r="D28" s="8">
        <v>1</v>
      </c>
      <c r="E28" s="8">
        <v>399</v>
      </c>
      <c r="F28" s="8">
        <v>0.05</v>
      </c>
      <c r="G28" s="8">
        <v>379</v>
      </c>
      <c r="H28" s="8">
        <v>12</v>
      </c>
      <c r="I28" s="8" t="s">
        <v>21</v>
      </c>
      <c r="J28" s="8" t="s">
        <v>14</v>
      </c>
      <c r="K28" s="8">
        <v>399</v>
      </c>
      <c r="L28" s="8">
        <v>140</v>
      </c>
      <c r="M28" s="8">
        <v>1003</v>
      </c>
      <c r="N28" s="8">
        <v>25</v>
      </c>
      <c r="O28" s="9">
        <v>45800</v>
      </c>
      <c r="P28" s="8" t="s">
        <v>41</v>
      </c>
      <c r="Q28" s="8" t="s">
        <v>43</v>
      </c>
      <c r="R28" s="8">
        <v>6</v>
      </c>
      <c r="S28" s="8">
        <v>25</v>
      </c>
      <c r="T28" s="8" t="s">
        <v>112</v>
      </c>
      <c r="U28" s="8" t="s">
        <v>71</v>
      </c>
      <c r="V28" s="8" t="s">
        <v>72</v>
      </c>
      <c r="W28" s="8" t="s">
        <v>58</v>
      </c>
      <c r="X28" s="10">
        <v>45501</v>
      </c>
    </row>
    <row r="29" spans="1:24" x14ac:dyDescent="0.3">
      <c r="A29" s="11">
        <v>8</v>
      </c>
      <c r="B29" s="11">
        <v>1003</v>
      </c>
      <c r="C29" s="11">
        <v>20</v>
      </c>
      <c r="D29" s="11">
        <v>2</v>
      </c>
      <c r="E29" s="11">
        <v>449</v>
      </c>
      <c r="F29" s="11">
        <v>0.2</v>
      </c>
      <c r="G29" s="11">
        <v>718</v>
      </c>
      <c r="H29" s="11">
        <v>20</v>
      </c>
      <c r="I29" s="11" t="s">
        <v>29</v>
      </c>
      <c r="J29" s="11" t="s">
        <v>16</v>
      </c>
      <c r="K29" s="11">
        <v>449</v>
      </c>
      <c r="L29" s="11">
        <v>180</v>
      </c>
      <c r="M29" s="11">
        <v>1003</v>
      </c>
      <c r="N29" s="11">
        <v>25</v>
      </c>
      <c r="O29" s="12">
        <v>45800</v>
      </c>
      <c r="P29" s="11" t="s">
        <v>41</v>
      </c>
      <c r="Q29" s="11" t="s">
        <v>43</v>
      </c>
      <c r="R29" s="11">
        <v>6</v>
      </c>
      <c r="S29" s="11">
        <v>25</v>
      </c>
      <c r="T29" s="11" t="s">
        <v>112</v>
      </c>
      <c r="U29" s="11" t="s">
        <v>71</v>
      </c>
      <c r="V29" s="11" t="s">
        <v>72</v>
      </c>
      <c r="W29" s="11" t="s">
        <v>58</v>
      </c>
      <c r="X29" s="13">
        <v>45501</v>
      </c>
    </row>
    <row r="30" spans="1:24" x14ac:dyDescent="0.3">
      <c r="A30" s="8">
        <v>34</v>
      </c>
      <c r="B30" s="8">
        <v>1015</v>
      </c>
      <c r="C30" s="8">
        <v>17</v>
      </c>
      <c r="D30" s="8">
        <v>1</v>
      </c>
      <c r="E30" s="8">
        <v>8499</v>
      </c>
      <c r="F30" s="8">
        <v>0.2</v>
      </c>
      <c r="G30" s="8">
        <v>6799</v>
      </c>
      <c r="H30" s="8">
        <v>17</v>
      </c>
      <c r="I30" s="8" t="s">
        <v>26</v>
      </c>
      <c r="J30" s="8" t="s">
        <v>14</v>
      </c>
      <c r="K30" s="8">
        <v>8499</v>
      </c>
      <c r="L30" s="8">
        <v>6100</v>
      </c>
      <c r="M30" s="8">
        <v>1015</v>
      </c>
      <c r="N30" s="8">
        <v>15</v>
      </c>
      <c r="O30" s="9">
        <v>45692</v>
      </c>
      <c r="P30" s="8" t="s">
        <v>41</v>
      </c>
      <c r="Q30" s="8" t="s">
        <v>43</v>
      </c>
      <c r="R30" s="8">
        <v>7</v>
      </c>
      <c r="S30" s="8">
        <v>15</v>
      </c>
      <c r="T30" s="8" t="s">
        <v>96</v>
      </c>
      <c r="U30" s="8" t="s">
        <v>97</v>
      </c>
      <c r="V30" s="8" t="s">
        <v>72</v>
      </c>
      <c r="W30" s="8" t="s">
        <v>66</v>
      </c>
      <c r="X30" s="10">
        <v>45531</v>
      </c>
    </row>
    <row r="31" spans="1:24" x14ac:dyDescent="0.3">
      <c r="A31" s="11">
        <v>20</v>
      </c>
      <c r="B31" s="11">
        <v>1008</v>
      </c>
      <c r="C31" s="11">
        <v>18</v>
      </c>
      <c r="D31" s="11">
        <v>2</v>
      </c>
      <c r="E31" s="11">
        <v>3299</v>
      </c>
      <c r="F31" s="11">
        <v>0.2</v>
      </c>
      <c r="G31" s="11">
        <v>5278</v>
      </c>
      <c r="H31" s="11">
        <v>18</v>
      </c>
      <c r="I31" s="11" t="s">
        <v>27</v>
      </c>
      <c r="J31" s="11" t="s">
        <v>19</v>
      </c>
      <c r="K31" s="11">
        <v>3299</v>
      </c>
      <c r="L31" s="11">
        <v>2050</v>
      </c>
      <c r="M31" s="11">
        <v>1008</v>
      </c>
      <c r="N31" s="11">
        <v>17</v>
      </c>
      <c r="O31" s="12">
        <v>45941</v>
      </c>
      <c r="P31" s="11" t="s">
        <v>47</v>
      </c>
      <c r="Q31" s="11" t="s">
        <v>46</v>
      </c>
      <c r="R31" s="11">
        <v>0</v>
      </c>
      <c r="S31" s="11">
        <v>17</v>
      </c>
      <c r="T31" s="11" t="s">
        <v>100</v>
      </c>
      <c r="U31" s="11" t="s">
        <v>101</v>
      </c>
      <c r="V31" s="11" t="s">
        <v>78</v>
      </c>
      <c r="W31" s="11" t="s">
        <v>62</v>
      </c>
      <c r="X31" s="13">
        <v>44959</v>
      </c>
    </row>
    <row r="32" spans="1:24" x14ac:dyDescent="0.3">
      <c r="A32" s="8">
        <v>13</v>
      </c>
      <c r="B32" s="8">
        <v>1005</v>
      </c>
      <c r="C32" s="8">
        <v>3</v>
      </c>
      <c r="D32" s="8">
        <v>1</v>
      </c>
      <c r="E32" s="8">
        <v>1799</v>
      </c>
      <c r="F32" s="8">
        <v>0.1</v>
      </c>
      <c r="G32" s="8">
        <v>1619</v>
      </c>
      <c r="H32" s="8">
        <v>3</v>
      </c>
      <c r="I32" s="8" t="s">
        <v>8</v>
      </c>
      <c r="J32" s="8" t="s">
        <v>6</v>
      </c>
      <c r="K32" s="8">
        <v>1799</v>
      </c>
      <c r="L32" s="8">
        <v>980</v>
      </c>
      <c r="M32" s="8">
        <v>1005</v>
      </c>
      <c r="N32" s="8">
        <v>21</v>
      </c>
      <c r="O32" s="9">
        <v>45686</v>
      </c>
      <c r="P32" s="8" t="s">
        <v>41</v>
      </c>
      <c r="Q32" s="8" t="s">
        <v>46</v>
      </c>
      <c r="R32" s="8">
        <v>7</v>
      </c>
      <c r="S32" s="8">
        <v>21</v>
      </c>
      <c r="T32" s="8" t="s">
        <v>108</v>
      </c>
      <c r="U32" s="8" t="s">
        <v>56</v>
      </c>
      <c r="V32" s="8" t="s">
        <v>57</v>
      </c>
      <c r="W32" s="8" t="s">
        <v>66</v>
      </c>
      <c r="X32" s="10">
        <v>45165</v>
      </c>
    </row>
    <row r="33" spans="1:24" x14ac:dyDescent="0.3">
      <c r="A33" s="11">
        <v>11</v>
      </c>
      <c r="B33" s="11">
        <v>1005</v>
      </c>
      <c r="C33" s="11">
        <v>13</v>
      </c>
      <c r="D33" s="11">
        <v>1</v>
      </c>
      <c r="E33" s="11">
        <v>10999</v>
      </c>
      <c r="F33" s="11">
        <v>0.15</v>
      </c>
      <c r="G33" s="11">
        <v>9349</v>
      </c>
      <c r="H33" s="11">
        <v>13</v>
      </c>
      <c r="I33" s="11" t="s">
        <v>22</v>
      </c>
      <c r="J33" s="11" t="s">
        <v>6</v>
      </c>
      <c r="K33" s="11">
        <v>10999</v>
      </c>
      <c r="L33" s="11">
        <v>7900</v>
      </c>
      <c r="M33" s="11">
        <v>1005</v>
      </c>
      <c r="N33" s="11">
        <v>21</v>
      </c>
      <c r="O33" s="12">
        <v>45686</v>
      </c>
      <c r="P33" s="11" t="s">
        <v>41</v>
      </c>
      <c r="Q33" s="11" t="s">
        <v>46</v>
      </c>
      <c r="R33" s="11">
        <v>7</v>
      </c>
      <c r="S33" s="11">
        <v>21</v>
      </c>
      <c r="T33" s="11" t="s">
        <v>108</v>
      </c>
      <c r="U33" s="11" t="s">
        <v>56</v>
      </c>
      <c r="V33" s="11" t="s">
        <v>57</v>
      </c>
      <c r="W33" s="11" t="s">
        <v>66</v>
      </c>
      <c r="X33" s="13">
        <v>45165</v>
      </c>
    </row>
    <row r="34" spans="1:24" x14ac:dyDescent="0.3">
      <c r="A34" s="8">
        <v>12</v>
      </c>
      <c r="B34" s="8">
        <v>1005</v>
      </c>
      <c r="C34" s="8">
        <v>9</v>
      </c>
      <c r="D34" s="8">
        <v>2</v>
      </c>
      <c r="E34" s="8">
        <v>199</v>
      </c>
      <c r="F34" s="8">
        <v>0.05</v>
      </c>
      <c r="G34" s="8">
        <v>378</v>
      </c>
      <c r="H34" s="8">
        <v>9</v>
      </c>
      <c r="I34" s="8" t="s">
        <v>17</v>
      </c>
      <c r="J34" s="8" t="s">
        <v>16</v>
      </c>
      <c r="K34" s="8">
        <v>199</v>
      </c>
      <c r="L34" s="8">
        <v>65</v>
      </c>
      <c r="M34" s="8">
        <v>1005</v>
      </c>
      <c r="N34" s="8">
        <v>21</v>
      </c>
      <c r="O34" s="9">
        <v>45686</v>
      </c>
      <c r="P34" s="8" t="s">
        <v>41</v>
      </c>
      <c r="Q34" s="8" t="s">
        <v>46</v>
      </c>
      <c r="R34" s="8">
        <v>7</v>
      </c>
      <c r="S34" s="8">
        <v>21</v>
      </c>
      <c r="T34" s="8" t="s">
        <v>108</v>
      </c>
      <c r="U34" s="8" t="s">
        <v>56</v>
      </c>
      <c r="V34" s="8" t="s">
        <v>57</v>
      </c>
      <c r="W34" s="8" t="s">
        <v>66</v>
      </c>
      <c r="X34" s="10">
        <v>45165</v>
      </c>
    </row>
    <row r="35" spans="1:24" x14ac:dyDescent="0.3">
      <c r="A35" s="11">
        <v>25</v>
      </c>
      <c r="B35" s="11">
        <v>1010</v>
      </c>
      <c r="C35" s="11">
        <v>20</v>
      </c>
      <c r="D35" s="11">
        <v>1</v>
      </c>
      <c r="E35" s="11">
        <v>449</v>
      </c>
      <c r="F35" s="11">
        <v>0</v>
      </c>
      <c r="G35" s="11">
        <v>449</v>
      </c>
      <c r="H35" s="11">
        <v>20</v>
      </c>
      <c r="I35" s="11" t="s">
        <v>29</v>
      </c>
      <c r="J35" s="11" t="s">
        <v>16</v>
      </c>
      <c r="K35" s="11">
        <v>449</v>
      </c>
      <c r="L35" s="11">
        <v>180</v>
      </c>
      <c r="M35" s="11">
        <v>1010</v>
      </c>
      <c r="N35" s="11">
        <v>24</v>
      </c>
      <c r="O35" s="12">
        <v>45740</v>
      </c>
      <c r="P35" s="11" t="s">
        <v>48</v>
      </c>
      <c r="Q35" s="11" t="s">
        <v>45</v>
      </c>
      <c r="R35" s="11">
        <v>0</v>
      </c>
      <c r="S35" s="11">
        <v>24</v>
      </c>
      <c r="T35" s="11" t="s">
        <v>111</v>
      </c>
      <c r="U35" s="11" t="s">
        <v>68</v>
      </c>
      <c r="V35" s="11" t="s">
        <v>69</v>
      </c>
      <c r="W35" s="11" t="s">
        <v>66</v>
      </c>
      <c r="X35" s="13">
        <v>44954</v>
      </c>
    </row>
    <row r="36" spans="1:24" x14ac:dyDescent="0.3">
      <c r="A36" s="8">
        <v>40</v>
      </c>
      <c r="B36" s="8">
        <v>1018</v>
      </c>
      <c r="C36" s="8">
        <v>8</v>
      </c>
      <c r="D36" s="8">
        <v>1</v>
      </c>
      <c r="E36" s="8">
        <v>299</v>
      </c>
      <c r="F36" s="8">
        <v>0.15</v>
      </c>
      <c r="G36" s="8">
        <v>254</v>
      </c>
      <c r="H36" s="8">
        <v>8</v>
      </c>
      <c r="I36" s="8" t="s">
        <v>15</v>
      </c>
      <c r="J36" s="8" t="s">
        <v>16</v>
      </c>
      <c r="K36" s="8">
        <v>299</v>
      </c>
      <c r="L36" s="8">
        <v>110</v>
      </c>
      <c r="M36" s="8">
        <v>1018</v>
      </c>
      <c r="N36" s="8">
        <v>29</v>
      </c>
      <c r="O36" s="9">
        <v>45729</v>
      </c>
      <c r="P36" s="8" t="s">
        <v>41</v>
      </c>
      <c r="Q36" s="8" t="s">
        <v>43</v>
      </c>
      <c r="R36" s="8">
        <v>2</v>
      </c>
      <c r="S36" s="8">
        <v>29</v>
      </c>
      <c r="T36" s="8" t="s">
        <v>116</v>
      </c>
      <c r="U36" s="8" t="s">
        <v>83</v>
      </c>
      <c r="V36" s="8" t="s">
        <v>84</v>
      </c>
      <c r="W36" s="8" t="s">
        <v>62</v>
      </c>
      <c r="X36" s="10">
        <v>45645</v>
      </c>
    </row>
    <row r="37" spans="1:24" x14ac:dyDescent="0.3">
      <c r="A37" s="11">
        <v>41</v>
      </c>
      <c r="B37" s="11">
        <v>1018</v>
      </c>
      <c r="C37" s="11">
        <v>3</v>
      </c>
      <c r="D37" s="11">
        <v>2</v>
      </c>
      <c r="E37" s="11">
        <v>1799</v>
      </c>
      <c r="F37" s="11">
        <v>0</v>
      </c>
      <c r="G37" s="11">
        <v>3598</v>
      </c>
      <c r="H37" s="11">
        <v>3</v>
      </c>
      <c r="I37" s="11" t="s">
        <v>8</v>
      </c>
      <c r="J37" s="11" t="s">
        <v>6</v>
      </c>
      <c r="K37" s="11">
        <v>1799</v>
      </c>
      <c r="L37" s="11">
        <v>980</v>
      </c>
      <c r="M37" s="11">
        <v>1018</v>
      </c>
      <c r="N37" s="11">
        <v>29</v>
      </c>
      <c r="O37" s="12">
        <v>45729</v>
      </c>
      <c r="P37" s="11" t="s">
        <v>41</v>
      </c>
      <c r="Q37" s="11" t="s">
        <v>43</v>
      </c>
      <c r="R37" s="11">
        <v>2</v>
      </c>
      <c r="S37" s="11">
        <v>29</v>
      </c>
      <c r="T37" s="11" t="s">
        <v>116</v>
      </c>
      <c r="U37" s="11" t="s">
        <v>83</v>
      </c>
      <c r="V37" s="11" t="s">
        <v>84</v>
      </c>
      <c r="W37" s="11" t="s">
        <v>62</v>
      </c>
      <c r="X37" s="13">
        <v>45645</v>
      </c>
    </row>
    <row r="38" spans="1:24" x14ac:dyDescent="0.3">
      <c r="A38" s="8">
        <v>35</v>
      </c>
      <c r="B38" s="8">
        <v>1016</v>
      </c>
      <c r="C38" s="8">
        <v>8</v>
      </c>
      <c r="D38" s="8">
        <v>1</v>
      </c>
      <c r="E38" s="8">
        <v>299</v>
      </c>
      <c r="F38" s="8">
        <v>0.2</v>
      </c>
      <c r="G38" s="8">
        <v>239</v>
      </c>
      <c r="H38" s="8">
        <v>8</v>
      </c>
      <c r="I38" s="8" t="s">
        <v>15</v>
      </c>
      <c r="J38" s="8" t="s">
        <v>16</v>
      </c>
      <c r="K38" s="8">
        <v>299</v>
      </c>
      <c r="L38" s="8">
        <v>110</v>
      </c>
      <c r="M38" s="8">
        <v>1016</v>
      </c>
      <c r="N38" s="8">
        <v>32</v>
      </c>
      <c r="O38" s="9">
        <v>45767</v>
      </c>
      <c r="P38" s="8" t="s">
        <v>48</v>
      </c>
      <c r="Q38" s="8" t="s">
        <v>42</v>
      </c>
      <c r="R38" s="8">
        <v>0</v>
      </c>
      <c r="S38" s="8">
        <v>32</v>
      </c>
      <c r="T38" s="8" t="s">
        <v>119</v>
      </c>
      <c r="U38" s="8" t="s">
        <v>91</v>
      </c>
      <c r="V38" s="8" t="s">
        <v>61</v>
      </c>
      <c r="W38" s="8" t="s">
        <v>62</v>
      </c>
      <c r="X38" s="10">
        <v>45152</v>
      </c>
    </row>
    <row r="39" spans="1:24" x14ac:dyDescent="0.3">
      <c r="A39" s="11">
        <v>36</v>
      </c>
      <c r="B39" s="11">
        <v>1016</v>
      </c>
      <c r="C39" s="11">
        <v>16</v>
      </c>
      <c r="D39" s="11">
        <v>1</v>
      </c>
      <c r="E39" s="11">
        <v>1599</v>
      </c>
      <c r="F39" s="11">
        <v>0.1</v>
      </c>
      <c r="G39" s="11">
        <v>1439</v>
      </c>
      <c r="H39" s="11">
        <v>16</v>
      </c>
      <c r="I39" s="11" t="s">
        <v>25</v>
      </c>
      <c r="J39" s="11" t="s">
        <v>6</v>
      </c>
      <c r="K39" s="11">
        <v>1599</v>
      </c>
      <c r="L39" s="11">
        <v>900</v>
      </c>
      <c r="M39" s="11">
        <v>1016</v>
      </c>
      <c r="N39" s="11">
        <v>32</v>
      </c>
      <c r="O39" s="12">
        <v>45767</v>
      </c>
      <c r="P39" s="11" t="s">
        <v>48</v>
      </c>
      <c r="Q39" s="11" t="s">
        <v>42</v>
      </c>
      <c r="R39" s="11">
        <v>0</v>
      </c>
      <c r="S39" s="11">
        <v>32</v>
      </c>
      <c r="T39" s="11" t="s">
        <v>119</v>
      </c>
      <c r="U39" s="11" t="s">
        <v>91</v>
      </c>
      <c r="V39" s="11" t="s">
        <v>61</v>
      </c>
      <c r="W39" s="11" t="s">
        <v>62</v>
      </c>
      <c r="X39" s="13">
        <v>45152</v>
      </c>
    </row>
    <row r="40" spans="1:24" x14ac:dyDescent="0.3">
      <c r="A40" s="8">
        <v>37</v>
      </c>
      <c r="B40" s="8">
        <v>1016</v>
      </c>
      <c r="C40" s="8">
        <v>14</v>
      </c>
      <c r="D40" s="8">
        <v>1</v>
      </c>
      <c r="E40" s="8">
        <v>2499</v>
      </c>
      <c r="F40" s="8">
        <v>0.2</v>
      </c>
      <c r="G40" s="8">
        <v>1999</v>
      </c>
      <c r="H40" s="8">
        <v>14</v>
      </c>
      <c r="I40" s="8" t="s">
        <v>23</v>
      </c>
      <c r="J40" s="8" t="s">
        <v>6</v>
      </c>
      <c r="K40" s="8">
        <v>2499</v>
      </c>
      <c r="L40" s="8">
        <v>1500</v>
      </c>
      <c r="M40" s="8">
        <v>1016</v>
      </c>
      <c r="N40" s="8">
        <v>32</v>
      </c>
      <c r="O40" s="9">
        <v>45767</v>
      </c>
      <c r="P40" s="8" t="s">
        <v>48</v>
      </c>
      <c r="Q40" s="8" t="s">
        <v>42</v>
      </c>
      <c r="R40" s="8">
        <v>0</v>
      </c>
      <c r="S40" s="8">
        <v>32</v>
      </c>
      <c r="T40" s="8" t="s">
        <v>119</v>
      </c>
      <c r="U40" s="8" t="s">
        <v>91</v>
      </c>
      <c r="V40" s="8" t="s">
        <v>61</v>
      </c>
      <c r="W40" s="8" t="s">
        <v>62</v>
      </c>
      <c r="X40" s="10">
        <v>45152</v>
      </c>
    </row>
    <row r="41" spans="1:24" x14ac:dyDescent="0.3">
      <c r="A41" s="11">
        <v>38</v>
      </c>
      <c r="B41" s="11">
        <v>1016</v>
      </c>
      <c r="C41" s="11">
        <v>7</v>
      </c>
      <c r="D41" s="11">
        <v>1</v>
      </c>
      <c r="E41" s="11">
        <v>999</v>
      </c>
      <c r="F41" s="11">
        <v>0.2</v>
      </c>
      <c r="G41" s="11">
        <v>799</v>
      </c>
      <c r="H41" s="11">
        <v>7</v>
      </c>
      <c r="I41" s="11" t="s">
        <v>13</v>
      </c>
      <c r="J41" s="11" t="s">
        <v>14</v>
      </c>
      <c r="K41" s="11">
        <v>999</v>
      </c>
      <c r="L41" s="11">
        <v>480</v>
      </c>
      <c r="M41" s="11">
        <v>1016</v>
      </c>
      <c r="N41" s="11">
        <v>32</v>
      </c>
      <c r="O41" s="12">
        <v>45767</v>
      </c>
      <c r="P41" s="11" t="s">
        <v>48</v>
      </c>
      <c r="Q41" s="11" t="s">
        <v>42</v>
      </c>
      <c r="R41" s="11">
        <v>0</v>
      </c>
      <c r="S41" s="11">
        <v>32</v>
      </c>
      <c r="T41" s="11" t="s">
        <v>119</v>
      </c>
      <c r="U41" s="11" t="s">
        <v>91</v>
      </c>
      <c r="V41" s="11" t="s">
        <v>61</v>
      </c>
      <c r="W41" s="11" t="s">
        <v>62</v>
      </c>
      <c r="X41" s="13">
        <v>45152</v>
      </c>
    </row>
    <row r="42" spans="1:24" x14ac:dyDescent="0.3">
      <c r="A42" s="8">
        <v>33</v>
      </c>
      <c r="B42" s="8">
        <v>1014</v>
      </c>
      <c r="C42" s="8">
        <v>3</v>
      </c>
      <c r="D42" s="8">
        <v>2</v>
      </c>
      <c r="E42" s="8">
        <v>1799</v>
      </c>
      <c r="F42" s="8">
        <v>0</v>
      </c>
      <c r="G42" s="8">
        <v>3598</v>
      </c>
      <c r="H42" s="8">
        <v>3</v>
      </c>
      <c r="I42" s="8" t="s">
        <v>8</v>
      </c>
      <c r="J42" s="8" t="s">
        <v>6</v>
      </c>
      <c r="K42" s="8">
        <v>1799</v>
      </c>
      <c r="L42" s="8">
        <v>980</v>
      </c>
      <c r="M42" s="8">
        <v>1014</v>
      </c>
      <c r="N42" s="8">
        <v>38</v>
      </c>
      <c r="O42" s="9">
        <v>45941</v>
      </c>
      <c r="P42" s="8" t="s">
        <v>41</v>
      </c>
      <c r="Q42" s="8" t="s">
        <v>42</v>
      </c>
      <c r="R42" s="8">
        <v>5</v>
      </c>
      <c r="S42" s="8">
        <v>38</v>
      </c>
      <c r="T42" s="8" t="s">
        <v>125</v>
      </c>
      <c r="U42" s="8" t="s">
        <v>103</v>
      </c>
      <c r="V42" s="8" t="s">
        <v>81</v>
      </c>
      <c r="W42" s="8" t="s">
        <v>62</v>
      </c>
      <c r="X42" s="10">
        <v>45704</v>
      </c>
    </row>
    <row r="43" spans="1:24" x14ac:dyDescent="0.3">
      <c r="A43" s="11">
        <v>42</v>
      </c>
      <c r="B43" s="11">
        <v>1018</v>
      </c>
      <c r="C43" s="11">
        <v>15</v>
      </c>
      <c r="D43" s="11">
        <v>2</v>
      </c>
      <c r="E43" s="11">
        <v>349</v>
      </c>
      <c r="F43" s="11">
        <v>0</v>
      </c>
      <c r="G43" s="11">
        <v>698</v>
      </c>
      <c r="H43" s="11">
        <v>15</v>
      </c>
      <c r="I43" s="11" t="s">
        <v>24</v>
      </c>
      <c r="J43" s="11" t="s">
        <v>11</v>
      </c>
      <c r="K43" s="11">
        <v>349</v>
      </c>
      <c r="L43" s="11">
        <v>120</v>
      </c>
      <c r="M43" s="11">
        <v>1018</v>
      </c>
      <c r="N43" s="11">
        <v>29</v>
      </c>
      <c r="O43" s="12">
        <v>45729</v>
      </c>
      <c r="P43" s="11" t="s">
        <v>41</v>
      </c>
      <c r="Q43" s="11" t="s">
        <v>43</v>
      </c>
      <c r="R43" s="11">
        <v>2</v>
      </c>
      <c r="S43" s="11">
        <v>29</v>
      </c>
      <c r="T43" s="11" t="s">
        <v>116</v>
      </c>
      <c r="U43" s="11" t="s">
        <v>83</v>
      </c>
      <c r="V43" s="11" t="s">
        <v>84</v>
      </c>
      <c r="W43" s="11" t="s">
        <v>62</v>
      </c>
      <c r="X43" s="13">
        <v>45645</v>
      </c>
    </row>
    <row r="44" spans="1:24" x14ac:dyDescent="0.3">
      <c r="A44" s="8">
        <v>43</v>
      </c>
      <c r="B44" s="8">
        <v>1018</v>
      </c>
      <c r="C44" s="8">
        <v>4</v>
      </c>
      <c r="D44" s="8">
        <v>1</v>
      </c>
      <c r="E44" s="8">
        <v>2199</v>
      </c>
      <c r="F44" s="8">
        <v>0.1</v>
      </c>
      <c r="G44" s="8">
        <v>1979</v>
      </c>
      <c r="H44" s="8">
        <v>4</v>
      </c>
      <c r="I44" s="8" t="s">
        <v>9</v>
      </c>
      <c r="J44" s="8" t="s">
        <v>6</v>
      </c>
      <c r="K44" s="8">
        <v>2199</v>
      </c>
      <c r="L44" s="8">
        <v>1250</v>
      </c>
      <c r="M44" s="8">
        <v>1018</v>
      </c>
      <c r="N44" s="8">
        <v>29</v>
      </c>
      <c r="O44" s="9">
        <v>45729</v>
      </c>
      <c r="P44" s="8" t="s">
        <v>41</v>
      </c>
      <c r="Q44" s="8" t="s">
        <v>43</v>
      </c>
      <c r="R44" s="8">
        <v>2</v>
      </c>
      <c r="S44" s="8">
        <v>29</v>
      </c>
      <c r="T44" s="8" t="s">
        <v>116</v>
      </c>
      <c r="U44" s="8" t="s">
        <v>83</v>
      </c>
      <c r="V44" s="8" t="s">
        <v>84</v>
      </c>
      <c r="W44" s="8" t="s">
        <v>62</v>
      </c>
      <c r="X44" s="10">
        <v>45645</v>
      </c>
    </row>
    <row r="45" spans="1:24" x14ac:dyDescent="0.3">
      <c r="A45" s="11">
        <v>44</v>
      </c>
      <c r="B45" s="11">
        <v>1019</v>
      </c>
      <c r="C45" s="11">
        <v>6</v>
      </c>
      <c r="D45" s="11">
        <v>1</v>
      </c>
      <c r="E45" s="11">
        <v>1899</v>
      </c>
      <c r="F45" s="11">
        <v>0.1</v>
      </c>
      <c r="G45" s="11">
        <v>1709</v>
      </c>
      <c r="H45" s="11">
        <v>6</v>
      </c>
      <c r="I45" s="11" t="s">
        <v>12</v>
      </c>
      <c r="J45" s="11" t="s">
        <v>11</v>
      </c>
      <c r="K45" s="11">
        <v>1899</v>
      </c>
      <c r="L45" s="11">
        <v>950</v>
      </c>
      <c r="M45" s="11">
        <v>1019</v>
      </c>
      <c r="N45" s="11">
        <v>31</v>
      </c>
      <c r="O45" s="12">
        <v>45767</v>
      </c>
      <c r="P45" s="11" t="s">
        <v>47</v>
      </c>
      <c r="Q45" s="11" t="s">
        <v>49</v>
      </c>
      <c r="R45" s="11">
        <v>0</v>
      </c>
      <c r="S45" s="11">
        <v>31</v>
      </c>
      <c r="T45" s="11" t="s">
        <v>118</v>
      </c>
      <c r="U45" s="11" t="s">
        <v>89</v>
      </c>
      <c r="V45" s="11" t="s">
        <v>57</v>
      </c>
      <c r="W45" s="11" t="s">
        <v>58</v>
      </c>
      <c r="X45" s="13">
        <v>45356</v>
      </c>
    </row>
    <row r="46" spans="1:24" x14ac:dyDescent="0.3">
      <c r="A46" s="8">
        <v>45</v>
      </c>
      <c r="B46" s="8">
        <v>1020</v>
      </c>
      <c r="C46" s="8">
        <v>5</v>
      </c>
      <c r="D46" s="8">
        <v>3</v>
      </c>
      <c r="E46" s="8">
        <v>1299</v>
      </c>
      <c r="F46" s="8">
        <v>0.15</v>
      </c>
      <c r="G46" s="8">
        <v>3312</v>
      </c>
      <c r="H46" s="8">
        <v>5</v>
      </c>
      <c r="I46" s="8" t="s">
        <v>10</v>
      </c>
      <c r="J46" s="8" t="s">
        <v>11</v>
      </c>
      <c r="K46" s="8">
        <v>1299</v>
      </c>
      <c r="L46" s="8">
        <v>650</v>
      </c>
      <c r="M46" s="8">
        <v>1020</v>
      </c>
      <c r="N46" s="8">
        <v>17</v>
      </c>
      <c r="O46" s="9">
        <v>45890</v>
      </c>
      <c r="P46" s="8" t="s">
        <v>41</v>
      </c>
      <c r="Q46" s="8" t="s">
        <v>45</v>
      </c>
      <c r="R46" s="8">
        <v>4</v>
      </c>
      <c r="S46" s="8">
        <v>17</v>
      </c>
      <c r="T46" s="8" t="s">
        <v>100</v>
      </c>
      <c r="U46" s="8" t="s">
        <v>101</v>
      </c>
      <c r="V46" s="8" t="s">
        <v>78</v>
      </c>
      <c r="W46" s="8" t="s">
        <v>62</v>
      </c>
      <c r="X46" s="10">
        <v>44959</v>
      </c>
    </row>
    <row r="47" spans="1:24" x14ac:dyDescent="0.3">
      <c r="A47" s="11">
        <v>46</v>
      </c>
      <c r="B47" s="11">
        <v>1020</v>
      </c>
      <c r="C47" s="11">
        <v>7</v>
      </c>
      <c r="D47" s="11">
        <v>2</v>
      </c>
      <c r="E47" s="11">
        <v>999</v>
      </c>
      <c r="F47" s="11">
        <v>0</v>
      </c>
      <c r="G47" s="11">
        <v>1998</v>
      </c>
      <c r="H47" s="11">
        <v>7</v>
      </c>
      <c r="I47" s="11" t="s">
        <v>13</v>
      </c>
      <c r="J47" s="11" t="s">
        <v>14</v>
      </c>
      <c r="K47" s="11">
        <v>999</v>
      </c>
      <c r="L47" s="11">
        <v>480</v>
      </c>
      <c r="M47" s="11">
        <v>1020</v>
      </c>
      <c r="N47" s="11">
        <v>17</v>
      </c>
      <c r="O47" s="12">
        <v>45890</v>
      </c>
      <c r="P47" s="11" t="s">
        <v>41</v>
      </c>
      <c r="Q47" s="11" t="s">
        <v>45</v>
      </c>
      <c r="R47" s="11">
        <v>4</v>
      </c>
      <c r="S47" s="11">
        <v>17</v>
      </c>
      <c r="T47" s="11" t="s">
        <v>100</v>
      </c>
      <c r="U47" s="11" t="s">
        <v>101</v>
      </c>
      <c r="V47" s="11" t="s">
        <v>78</v>
      </c>
      <c r="W47" s="11" t="s">
        <v>62</v>
      </c>
      <c r="X47" s="13">
        <v>44959</v>
      </c>
    </row>
    <row r="48" spans="1:24" x14ac:dyDescent="0.3">
      <c r="A48" s="8">
        <v>47</v>
      </c>
      <c r="B48" s="8">
        <v>1020</v>
      </c>
      <c r="C48" s="8">
        <v>10</v>
      </c>
      <c r="D48" s="8">
        <v>2</v>
      </c>
      <c r="E48" s="8">
        <v>599</v>
      </c>
      <c r="F48" s="8">
        <v>0</v>
      </c>
      <c r="G48" s="8">
        <v>1198</v>
      </c>
      <c r="H48" s="8">
        <v>10</v>
      </c>
      <c r="I48" s="8" t="s">
        <v>18</v>
      </c>
      <c r="J48" s="8" t="s">
        <v>19</v>
      </c>
      <c r="K48" s="8">
        <v>599</v>
      </c>
      <c r="L48" s="8">
        <v>260</v>
      </c>
      <c r="M48" s="8">
        <v>1020</v>
      </c>
      <c r="N48" s="8">
        <v>17</v>
      </c>
      <c r="O48" s="9">
        <v>45890</v>
      </c>
      <c r="P48" s="8" t="s">
        <v>41</v>
      </c>
      <c r="Q48" s="8" t="s">
        <v>45</v>
      </c>
      <c r="R48" s="8">
        <v>4</v>
      </c>
      <c r="S48" s="8">
        <v>17</v>
      </c>
      <c r="T48" s="8" t="s">
        <v>100</v>
      </c>
      <c r="U48" s="8" t="s">
        <v>101</v>
      </c>
      <c r="V48" s="8" t="s">
        <v>78</v>
      </c>
      <c r="W48" s="8" t="s">
        <v>62</v>
      </c>
      <c r="X48" s="10">
        <v>44959</v>
      </c>
    </row>
    <row r="49" spans="1:24" x14ac:dyDescent="0.3">
      <c r="A49" s="11">
        <v>48</v>
      </c>
      <c r="B49" s="11">
        <v>1020</v>
      </c>
      <c r="C49" s="11">
        <v>19</v>
      </c>
      <c r="D49" s="11">
        <v>1</v>
      </c>
      <c r="E49" s="11">
        <v>499</v>
      </c>
      <c r="F49" s="11">
        <v>0.1</v>
      </c>
      <c r="G49" s="11">
        <v>449</v>
      </c>
      <c r="H49" s="11">
        <v>19</v>
      </c>
      <c r="I49" s="11" t="s">
        <v>28</v>
      </c>
      <c r="J49" s="11" t="s">
        <v>11</v>
      </c>
      <c r="K49" s="11">
        <v>499</v>
      </c>
      <c r="L49" s="11">
        <v>220</v>
      </c>
      <c r="M49" s="11">
        <v>1020</v>
      </c>
      <c r="N49" s="11">
        <v>17</v>
      </c>
      <c r="O49" s="12">
        <v>45890</v>
      </c>
      <c r="P49" s="11" t="s">
        <v>41</v>
      </c>
      <c r="Q49" s="11" t="s">
        <v>45</v>
      </c>
      <c r="R49" s="11">
        <v>4</v>
      </c>
      <c r="S49" s="11">
        <v>17</v>
      </c>
      <c r="T49" s="11" t="s">
        <v>100</v>
      </c>
      <c r="U49" s="11" t="s">
        <v>101</v>
      </c>
      <c r="V49" s="11" t="s">
        <v>78</v>
      </c>
      <c r="W49" s="11" t="s">
        <v>62</v>
      </c>
      <c r="X49" s="13">
        <v>44959</v>
      </c>
    </row>
    <row r="50" spans="1:24" x14ac:dyDescent="0.3">
      <c r="A50" s="8">
        <v>49</v>
      </c>
      <c r="B50" s="8">
        <v>1021</v>
      </c>
      <c r="C50" s="8">
        <v>6</v>
      </c>
      <c r="D50" s="8">
        <v>1</v>
      </c>
      <c r="E50" s="8">
        <v>1899</v>
      </c>
      <c r="F50" s="8">
        <v>0</v>
      </c>
      <c r="G50" s="8">
        <v>1899</v>
      </c>
      <c r="H50" s="8">
        <v>6</v>
      </c>
      <c r="I50" s="8" t="s">
        <v>12</v>
      </c>
      <c r="J50" s="8" t="s">
        <v>11</v>
      </c>
      <c r="K50" s="8">
        <v>1899</v>
      </c>
      <c r="L50" s="8">
        <v>950</v>
      </c>
      <c r="M50" s="8">
        <v>1021</v>
      </c>
      <c r="N50" s="8">
        <v>33</v>
      </c>
      <c r="O50" s="9">
        <v>45929</v>
      </c>
      <c r="P50" s="8" t="s">
        <v>41</v>
      </c>
      <c r="Q50" s="8" t="s">
        <v>45</v>
      </c>
      <c r="R50" s="8">
        <v>1</v>
      </c>
      <c r="S50" s="8">
        <v>33</v>
      </c>
      <c r="T50" s="8" t="s">
        <v>120</v>
      </c>
      <c r="U50" s="8" t="s">
        <v>93</v>
      </c>
      <c r="V50" s="8" t="s">
        <v>65</v>
      </c>
      <c r="W50" s="8" t="s">
        <v>66</v>
      </c>
      <c r="X50" s="10">
        <v>45386</v>
      </c>
    </row>
    <row r="51" spans="1:24" x14ac:dyDescent="0.3">
      <c r="A51" s="11">
        <v>50</v>
      </c>
      <c r="B51" s="11">
        <v>1022</v>
      </c>
      <c r="C51" s="11">
        <v>20</v>
      </c>
      <c r="D51" s="11">
        <v>1</v>
      </c>
      <c r="E51" s="11">
        <v>449</v>
      </c>
      <c r="F51" s="11">
        <v>0.2</v>
      </c>
      <c r="G51" s="11">
        <v>359</v>
      </c>
      <c r="H51" s="11">
        <v>20</v>
      </c>
      <c r="I51" s="11" t="s">
        <v>29</v>
      </c>
      <c r="J51" s="11" t="s">
        <v>16</v>
      </c>
      <c r="K51" s="11">
        <v>449</v>
      </c>
      <c r="L51" s="11">
        <v>180</v>
      </c>
      <c r="M51" s="11">
        <v>1022</v>
      </c>
      <c r="N51" s="11">
        <v>16</v>
      </c>
      <c r="O51" s="12">
        <v>45864</v>
      </c>
      <c r="P51" s="11" t="s">
        <v>41</v>
      </c>
      <c r="Q51" s="11" t="s">
        <v>42</v>
      </c>
      <c r="R51" s="11">
        <v>5</v>
      </c>
      <c r="S51" s="11">
        <v>16</v>
      </c>
      <c r="T51" s="11" t="s">
        <v>98</v>
      </c>
      <c r="U51" s="11" t="s">
        <v>99</v>
      </c>
      <c r="V51" s="11" t="s">
        <v>75</v>
      </c>
      <c r="W51" s="11" t="s">
        <v>58</v>
      </c>
      <c r="X51" s="13">
        <v>45359</v>
      </c>
    </row>
    <row r="52" spans="1:24" x14ac:dyDescent="0.3">
      <c r="A52" s="8">
        <v>51</v>
      </c>
      <c r="B52" s="8">
        <v>1023</v>
      </c>
      <c r="C52" s="8">
        <v>7</v>
      </c>
      <c r="D52" s="8">
        <v>1</v>
      </c>
      <c r="E52" s="8">
        <v>999</v>
      </c>
      <c r="F52" s="8">
        <v>0</v>
      </c>
      <c r="G52" s="8">
        <v>999</v>
      </c>
      <c r="H52" s="8">
        <v>7</v>
      </c>
      <c r="I52" s="8" t="s">
        <v>13</v>
      </c>
      <c r="J52" s="8" t="s">
        <v>14</v>
      </c>
      <c r="K52" s="8">
        <v>999</v>
      </c>
      <c r="L52" s="8">
        <v>480</v>
      </c>
      <c r="M52" s="8">
        <v>1023</v>
      </c>
      <c r="N52" s="8">
        <v>38</v>
      </c>
      <c r="O52" s="9">
        <v>45947</v>
      </c>
      <c r="P52" s="8" t="s">
        <v>48</v>
      </c>
      <c r="Q52" s="8" t="s">
        <v>43</v>
      </c>
      <c r="R52" s="8">
        <v>0</v>
      </c>
      <c r="S52" s="8">
        <v>38</v>
      </c>
      <c r="T52" s="8" t="s">
        <v>125</v>
      </c>
      <c r="U52" s="8" t="s">
        <v>103</v>
      </c>
      <c r="V52" s="8" t="s">
        <v>81</v>
      </c>
      <c r="W52" s="8" t="s">
        <v>62</v>
      </c>
      <c r="X52" s="10">
        <v>45704</v>
      </c>
    </row>
    <row r="53" spans="1:24" x14ac:dyDescent="0.3">
      <c r="A53" s="11">
        <v>52</v>
      </c>
      <c r="B53" s="11">
        <v>1023</v>
      </c>
      <c r="C53" s="11">
        <v>11</v>
      </c>
      <c r="D53" s="11">
        <v>2</v>
      </c>
      <c r="E53" s="11">
        <v>1099</v>
      </c>
      <c r="F53" s="11">
        <v>0.05</v>
      </c>
      <c r="G53" s="11">
        <v>2088</v>
      </c>
      <c r="H53" s="11">
        <v>11</v>
      </c>
      <c r="I53" s="11" t="s">
        <v>20</v>
      </c>
      <c r="J53" s="11" t="s">
        <v>19</v>
      </c>
      <c r="K53" s="11">
        <v>1099</v>
      </c>
      <c r="L53" s="11">
        <v>570</v>
      </c>
      <c r="M53" s="11">
        <v>1023</v>
      </c>
      <c r="N53" s="11">
        <v>38</v>
      </c>
      <c r="O53" s="12">
        <v>45947</v>
      </c>
      <c r="P53" s="11" t="s">
        <v>48</v>
      </c>
      <c r="Q53" s="11" t="s">
        <v>43</v>
      </c>
      <c r="R53" s="11">
        <v>0</v>
      </c>
      <c r="S53" s="11">
        <v>38</v>
      </c>
      <c r="T53" s="11" t="s">
        <v>125</v>
      </c>
      <c r="U53" s="11" t="s">
        <v>103</v>
      </c>
      <c r="V53" s="11" t="s">
        <v>81</v>
      </c>
      <c r="W53" s="11" t="s">
        <v>62</v>
      </c>
      <c r="X53" s="13">
        <v>45704</v>
      </c>
    </row>
    <row r="54" spans="1:24" x14ac:dyDescent="0.3">
      <c r="A54" s="8">
        <v>53</v>
      </c>
      <c r="B54" s="8">
        <v>1023</v>
      </c>
      <c r="C54" s="8">
        <v>8</v>
      </c>
      <c r="D54" s="8">
        <v>1</v>
      </c>
      <c r="E54" s="8">
        <v>299</v>
      </c>
      <c r="F54" s="8">
        <v>0</v>
      </c>
      <c r="G54" s="8">
        <v>299</v>
      </c>
      <c r="H54" s="8">
        <v>8</v>
      </c>
      <c r="I54" s="8" t="s">
        <v>15</v>
      </c>
      <c r="J54" s="8" t="s">
        <v>16</v>
      </c>
      <c r="K54" s="8">
        <v>299</v>
      </c>
      <c r="L54" s="8">
        <v>110</v>
      </c>
      <c r="M54" s="8">
        <v>1023</v>
      </c>
      <c r="N54" s="8">
        <v>38</v>
      </c>
      <c r="O54" s="9">
        <v>45947</v>
      </c>
      <c r="P54" s="8" t="s">
        <v>48</v>
      </c>
      <c r="Q54" s="8" t="s">
        <v>43</v>
      </c>
      <c r="R54" s="8">
        <v>0</v>
      </c>
      <c r="S54" s="8">
        <v>38</v>
      </c>
      <c r="T54" s="8" t="s">
        <v>125</v>
      </c>
      <c r="U54" s="8" t="s">
        <v>103</v>
      </c>
      <c r="V54" s="8" t="s">
        <v>81</v>
      </c>
      <c r="W54" s="8" t="s">
        <v>62</v>
      </c>
      <c r="X54" s="10">
        <v>45704</v>
      </c>
    </row>
    <row r="55" spans="1:24" x14ac:dyDescent="0.3">
      <c r="A55" s="11">
        <v>54</v>
      </c>
      <c r="B55" s="11">
        <v>1024</v>
      </c>
      <c r="C55" s="11">
        <v>3</v>
      </c>
      <c r="D55" s="11">
        <v>1</v>
      </c>
      <c r="E55" s="11">
        <v>1799</v>
      </c>
      <c r="F55" s="11">
        <v>0.15</v>
      </c>
      <c r="G55" s="11">
        <v>1529</v>
      </c>
      <c r="H55" s="11">
        <v>3</v>
      </c>
      <c r="I55" s="11" t="s">
        <v>8</v>
      </c>
      <c r="J55" s="11" t="s">
        <v>6</v>
      </c>
      <c r="K55" s="11">
        <v>1799</v>
      </c>
      <c r="L55" s="11">
        <v>980</v>
      </c>
      <c r="M55" s="11">
        <v>1024</v>
      </c>
      <c r="N55" s="11">
        <v>1</v>
      </c>
      <c r="O55" s="12">
        <v>45892</v>
      </c>
      <c r="P55" s="11" t="s">
        <v>48</v>
      </c>
      <c r="Q55" s="11" t="s">
        <v>45</v>
      </c>
      <c r="R55" s="11">
        <v>0</v>
      </c>
      <c r="S55" s="11">
        <v>1</v>
      </c>
      <c r="T55" s="11" t="s">
        <v>55</v>
      </c>
      <c r="U55" s="11" t="s">
        <v>56</v>
      </c>
      <c r="V55" s="11" t="s">
        <v>57</v>
      </c>
      <c r="W55" s="11" t="s">
        <v>58</v>
      </c>
      <c r="X55" s="13">
        <v>45581</v>
      </c>
    </row>
    <row r="56" spans="1:24" x14ac:dyDescent="0.3">
      <c r="A56" s="8">
        <v>55</v>
      </c>
      <c r="B56" s="8">
        <v>1025</v>
      </c>
      <c r="C56" s="8">
        <v>10</v>
      </c>
      <c r="D56" s="8">
        <v>2</v>
      </c>
      <c r="E56" s="8">
        <v>599</v>
      </c>
      <c r="F56" s="8">
        <v>0.2</v>
      </c>
      <c r="G56" s="8">
        <v>958</v>
      </c>
      <c r="H56" s="8">
        <v>10</v>
      </c>
      <c r="I56" s="8" t="s">
        <v>18</v>
      </c>
      <c r="J56" s="8" t="s">
        <v>19</v>
      </c>
      <c r="K56" s="8">
        <v>599</v>
      </c>
      <c r="L56" s="8">
        <v>260</v>
      </c>
      <c r="M56" s="8">
        <v>1025</v>
      </c>
      <c r="N56" s="8">
        <v>17</v>
      </c>
      <c r="O56" s="9">
        <v>45725</v>
      </c>
      <c r="P56" s="8" t="s">
        <v>41</v>
      </c>
      <c r="Q56" s="8" t="s">
        <v>42</v>
      </c>
      <c r="R56" s="8">
        <v>1</v>
      </c>
      <c r="S56" s="8">
        <v>17</v>
      </c>
      <c r="T56" s="8" t="s">
        <v>100</v>
      </c>
      <c r="U56" s="8" t="s">
        <v>101</v>
      </c>
      <c r="V56" s="8" t="s">
        <v>78</v>
      </c>
      <c r="W56" s="8" t="s">
        <v>62</v>
      </c>
      <c r="X56" s="10">
        <v>44959</v>
      </c>
    </row>
    <row r="57" spans="1:24" x14ac:dyDescent="0.3">
      <c r="A57" s="11">
        <v>56</v>
      </c>
      <c r="B57" s="11">
        <v>1025</v>
      </c>
      <c r="C57" s="11">
        <v>6</v>
      </c>
      <c r="D57" s="11">
        <v>1</v>
      </c>
      <c r="E57" s="11">
        <v>1899</v>
      </c>
      <c r="F57" s="11">
        <v>0.2</v>
      </c>
      <c r="G57" s="11">
        <v>1519</v>
      </c>
      <c r="H57" s="11">
        <v>6</v>
      </c>
      <c r="I57" s="11" t="s">
        <v>12</v>
      </c>
      <c r="J57" s="11" t="s">
        <v>11</v>
      </c>
      <c r="K57" s="11">
        <v>1899</v>
      </c>
      <c r="L57" s="11">
        <v>950</v>
      </c>
      <c r="M57" s="11">
        <v>1025</v>
      </c>
      <c r="N57" s="11">
        <v>17</v>
      </c>
      <c r="O57" s="12">
        <v>45725</v>
      </c>
      <c r="P57" s="11" t="s">
        <v>41</v>
      </c>
      <c r="Q57" s="11" t="s">
        <v>42</v>
      </c>
      <c r="R57" s="11">
        <v>1</v>
      </c>
      <c r="S57" s="11">
        <v>17</v>
      </c>
      <c r="T57" s="11" t="s">
        <v>100</v>
      </c>
      <c r="U57" s="11" t="s">
        <v>101</v>
      </c>
      <c r="V57" s="11" t="s">
        <v>78</v>
      </c>
      <c r="W57" s="11" t="s">
        <v>62</v>
      </c>
      <c r="X57" s="13">
        <v>44959</v>
      </c>
    </row>
    <row r="58" spans="1:24" x14ac:dyDescent="0.3">
      <c r="A58" s="8">
        <v>57</v>
      </c>
      <c r="B58" s="8">
        <v>1025</v>
      </c>
      <c r="C58" s="8">
        <v>15</v>
      </c>
      <c r="D58" s="8">
        <v>1</v>
      </c>
      <c r="E58" s="8">
        <v>349</v>
      </c>
      <c r="F58" s="8">
        <v>0.2</v>
      </c>
      <c r="G58" s="8">
        <v>279</v>
      </c>
      <c r="H58" s="8">
        <v>15</v>
      </c>
      <c r="I58" s="8" t="s">
        <v>24</v>
      </c>
      <c r="J58" s="8" t="s">
        <v>11</v>
      </c>
      <c r="K58" s="8">
        <v>349</v>
      </c>
      <c r="L58" s="8">
        <v>120</v>
      </c>
      <c r="M58" s="8">
        <v>1025</v>
      </c>
      <c r="N58" s="8">
        <v>17</v>
      </c>
      <c r="O58" s="9">
        <v>45725</v>
      </c>
      <c r="P58" s="8" t="s">
        <v>41</v>
      </c>
      <c r="Q58" s="8" t="s">
        <v>42</v>
      </c>
      <c r="R58" s="8">
        <v>1</v>
      </c>
      <c r="S58" s="8">
        <v>17</v>
      </c>
      <c r="T58" s="8" t="s">
        <v>100</v>
      </c>
      <c r="U58" s="8" t="s">
        <v>101</v>
      </c>
      <c r="V58" s="8" t="s">
        <v>78</v>
      </c>
      <c r="W58" s="8" t="s">
        <v>62</v>
      </c>
      <c r="X58" s="10">
        <v>44959</v>
      </c>
    </row>
    <row r="59" spans="1:24" x14ac:dyDescent="0.3">
      <c r="A59" s="11">
        <v>58</v>
      </c>
      <c r="B59" s="11">
        <v>1026</v>
      </c>
      <c r="C59" s="11">
        <v>4</v>
      </c>
      <c r="D59" s="11">
        <v>1</v>
      </c>
      <c r="E59" s="11">
        <v>2199</v>
      </c>
      <c r="F59" s="11">
        <v>0.05</v>
      </c>
      <c r="G59" s="11">
        <v>2089</v>
      </c>
      <c r="H59" s="11">
        <v>4</v>
      </c>
      <c r="I59" s="11" t="s">
        <v>9</v>
      </c>
      <c r="J59" s="11" t="s">
        <v>6</v>
      </c>
      <c r="K59" s="11">
        <v>2199</v>
      </c>
      <c r="L59" s="11">
        <v>1250</v>
      </c>
      <c r="M59" s="11">
        <v>1026</v>
      </c>
      <c r="N59" s="11">
        <v>36</v>
      </c>
      <c r="O59" s="12">
        <v>45811</v>
      </c>
      <c r="P59" s="11" t="s">
        <v>44</v>
      </c>
      <c r="Q59" s="11" t="s">
        <v>42</v>
      </c>
      <c r="R59" s="11">
        <v>1</v>
      </c>
      <c r="S59" s="11">
        <v>36</v>
      </c>
      <c r="T59" s="11" t="s">
        <v>123</v>
      </c>
      <c r="U59" s="11" t="s">
        <v>99</v>
      </c>
      <c r="V59" s="11" t="s">
        <v>75</v>
      </c>
      <c r="W59" s="11" t="s">
        <v>66</v>
      </c>
      <c r="X59" s="13">
        <v>45755</v>
      </c>
    </row>
    <row r="60" spans="1:24" x14ac:dyDescent="0.3">
      <c r="A60" s="8">
        <v>59</v>
      </c>
      <c r="B60" s="8">
        <v>1026</v>
      </c>
      <c r="C60" s="8">
        <v>20</v>
      </c>
      <c r="D60" s="8">
        <v>1</v>
      </c>
      <c r="E60" s="8">
        <v>449</v>
      </c>
      <c r="F60" s="8">
        <v>0.2</v>
      </c>
      <c r="G60" s="8">
        <v>359</v>
      </c>
      <c r="H60" s="8">
        <v>20</v>
      </c>
      <c r="I60" s="8" t="s">
        <v>29</v>
      </c>
      <c r="J60" s="8" t="s">
        <v>16</v>
      </c>
      <c r="K60" s="8">
        <v>449</v>
      </c>
      <c r="L60" s="8">
        <v>180</v>
      </c>
      <c r="M60" s="8">
        <v>1026</v>
      </c>
      <c r="N60" s="8">
        <v>36</v>
      </c>
      <c r="O60" s="9">
        <v>45811</v>
      </c>
      <c r="P60" s="8" t="s">
        <v>44</v>
      </c>
      <c r="Q60" s="8" t="s">
        <v>42</v>
      </c>
      <c r="R60" s="8">
        <v>1</v>
      </c>
      <c r="S60" s="8">
        <v>36</v>
      </c>
      <c r="T60" s="8" t="s">
        <v>123</v>
      </c>
      <c r="U60" s="8" t="s">
        <v>99</v>
      </c>
      <c r="V60" s="8" t="s">
        <v>75</v>
      </c>
      <c r="W60" s="8" t="s">
        <v>66</v>
      </c>
      <c r="X60" s="10">
        <v>45755</v>
      </c>
    </row>
    <row r="61" spans="1:24" x14ac:dyDescent="0.3">
      <c r="A61" s="11">
        <v>60</v>
      </c>
      <c r="B61" s="11">
        <v>1026</v>
      </c>
      <c r="C61" s="11">
        <v>18</v>
      </c>
      <c r="D61" s="11">
        <v>1</v>
      </c>
      <c r="E61" s="11">
        <v>3299</v>
      </c>
      <c r="F61" s="11">
        <v>0.2</v>
      </c>
      <c r="G61" s="11">
        <v>2639</v>
      </c>
      <c r="H61" s="11">
        <v>18</v>
      </c>
      <c r="I61" s="11" t="s">
        <v>27</v>
      </c>
      <c r="J61" s="11" t="s">
        <v>19</v>
      </c>
      <c r="K61" s="11">
        <v>3299</v>
      </c>
      <c r="L61" s="11">
        <v>2050</v>
      </c>
      <c r="M61" s="11">
        <v>1026</v>
      </c>
      <c r="N61" s="11">
        <v>36</v>
      </c>
      <c r="O61" s="12">
        <v>45811</v>
      </c>
      <c r="P61" s="11" t="s">
        <v>44</v>
      </c>
      <c r="Q61" s="11" t="s">
        <v>42</v>
      </c>
      <c r="R61" s="11">
        <v>1</v>
      </c>
      <c r="S61" s="11">
        <v>36</v>
      </c>
      <c r="T61" s="11" t="s">
        <v>123</v>
      </c>
      <c r="U61" s="11" t="s">
        <v>99</v>
      </c>
      <c r="V61" s="11" t="s">
        <v>75</v>
      </c>
      <c r="W61" s="11" t="s">
        <v>66</v>
      </c>
      <c r="X61" s="13">
        <v>45755</v>
      </c>
    </row>
    <row r="62" spans="1:24" x14ac:dyDescent="0.3">
      <c r="A62" s="8">
        <v>61</v>
      </c>
      <c r="B62" s="8">
        <v>1027</v>
      </c>
      <c r="C62" s="8">
        <v>14</v>
      </c>
      <c r="D62" s="8">
        <v>2</v>
      </c>
      <c r="E62" s="8">
        <v>2499</v>
      </c>
      <c r="F62" s="8">
        <v>0</v>
      </c>
      <c r="G62" s="8">
        <v>4998</v>
      </c>
      <c r="H62" s="8">
        <v>14</v>
      </c>
      <c r="I62" s="8" t="s">
        <v>23</v>
      </c>
      <c r="J62" s="8" t="s">
        <v>6</v>
      </c>
      <c r="K62" s="8">
        <v>2499</v>
      </c>
      <c r="L62" s="8">
        <v>1500</v>
      </c>
      <c r="M62" s="8">
        <v>1027</v>
      </c>
      <c r="N62" s="8">
        <v>17</v>
      </c>
      <c r="O62" s="9">
        <v>45916</v>
      </c>
      <c r="P62" s="8" t="s">
        <v>41</v>
      </c>
      <c r="Q62" s="8" t="s">
        <v>46</v>
      </c>
      <c r="R62" s="8">
        <v>3</v>
      </c>
      <c r="S62" s="8">
        <v>17</v>
      </c>
      <c r="T62" s="8" t="s">
        <v>100</v>
      </c>
      <c r="U62" s="8" t="s">
        <v>101</v>
      </c>
      <c r="V62" s="8" t="s">
        <v>78</v>
      </c>
      <c r="W62" s="8" t="s">
        <v>62</v>
      </c>
      <c r="X62" s="10">
        <v>44959</v>
      </c>
    </row>
    <row r="63" spans="1:24" x14ac:dyDescent="0.3">
      <c r="A63" s="11">
        <v>62</v>
      </c>
      <c r="B63" s="11">
        <v>1028</v>
      </c>
      <c r="C63" s="11">
        <v>6</v>
      </c>
      <c r="D63" s="11">
        <v>2</v>
      </c>
      <c r="E63" s="11">
        <v>1899</v>
      </c>
      <c r="F63" s="11">
        <v>0.15</v>
      </c>
      <c r="G63" s="11">
        <v>3228</v>
      </c>
      <c r="H63" s="11">
        <v>6</v>
      </c>
      <c r="I63" s="11" t="s">
        <v>12</v>
      </c>
      <c r="J63" s="11" t="s">
        <v>11</v>
      </c>
      <c r="K63" s="11">
        <v>1899</v>
      </c>
      <c r="L63" s="11">
        <v>950</v>
      </c>
      <c r="M63" s="11">
        <v>1028</v>
      </c>
      <c r="N63" s="11">
        <v>1</v>
      </c>
      <c r="O63" s="12">
        <v>45828</v>
      </c>
      <c r="P63" s="11" t="s">
        <v>47</v>
      </c>
      <c r="Q63" s="11" t="s">
        <v>42</v>
      </c>
      <c r="R63" s="11">
        <v>0</v>
      </c>
      <c r="S63" s="11">
        <v>1</v>
      </c>
      <c r="T63" s="11" t="s">
        <v>55</v>
      </c>
      <c r="U63" s="11" t="s">
        <v>56</v>
      </c>
      <c r="V63" s="11" t="s">
        <v>57</v>
      </c>
      <c r="W63" s="11" t="s">
        <v>58</v>
      </c>
      <c r="X63" s="13">
        <v>45581</v>
      </c>
    </row>
    <row r="64" spans="1:24" x14ac:dyDescent="0.3">
      <c r="A64" s="8">
        <v>63</v>
      </c>
      <c r="B64" s="8">
        <v>1028</v>
      </c>
      <c r="C64" s="8">
        <v>15</v>
      </c>
      <c r="D64" s="8">
        <v>1</v>
      </c>
      <c r="E64" s="8">
        <v>349</v>
      </c>
      <c r="F64" s="8">
        <v>0</v>
      </c>
      <c r="G64" s="8">
        <v>349</v>
      </c>
      <c r="H64" s="8">
        <v>15</v>
      </c>
      <c r="I64" s="8" t="s">
        <v>24</v>
      </c>
      <c r="J64" s="8" t="s">
        <v>11</v>
      </c>
      <c r="K64" s="8">
        <v>349</v>
      </c>
      <c r="L64" s="8">
        <v>120</v>
      </c>
      <c r="M64" s="8">
        <v>1028</v>
      </c>
      <c r="N64" s="8">
        <v>1</v>
      </c>
      <c r="O64" s="9">
        <v>45828</v>
      </c>
      <c r="P64" s="8" t="s">
        <v>47</v>
      </c>
      <c r="Q64" s="8" t="s">
        <v>42</v>
      </c>
      <c r="R64" s="8">
        <v>0</v>
      </c>
      <c r="S64" s="8">
        <v>1</v>
      </c>
      <c r="T64" s="8" t="s">
        <v>55</v>
      </c>
      <c r="U64" s="8" t="s">
        <v>56</v>
      </c>
      <c r="V64" s="8" t="s">
        <v>57</v>
      </c>
      <c r="W64" s="8" t="s">
        <v>58</v>
      </c>
      <c r="X64" s="10">
        <v>45581</v>
      </c>
    </row>
    <row r="65" spans="1:24" x14ac:dyDescent="0.3">
      <c r="A65" s="11">
        <v>64</v>
      </c>
      <c r="B65" s="11">
        <v>1028</v>
      </c>
      <c r="C65" s="11">
        <v>18</v>
      </c>
      <c r="D65" s="11">
        <v>3</v>
      </c>
      <c r="E65" s="11">
        <v>3299</v>
      </c>
      <c r="F65" s="11">
        <v>0.2</v>
      </c>
      <c r="G65" s="11">
        <v>7918</v>
      </c>
      <c r="H65" s="11">
        <v>18</v>
      </c>
      <c r="I65" s="11" t="s">
        <v>27</v>
      </c>
      <c r="J65" s="11" t="s">
        <v>19</v>
      </c>
      <c r="K65" s="11">
        <v>3299</v>
      </c>
      <c r="L65" s="11">
        <v>2050</v>
      </c>
      <c r="M65" s="11">
        <v>1028</v>
      </c>
      <c r="N65" s="11">
        <v>1</v>
      </c>
      <c r="O65" s="12">
        <v>45828</v>
      </c>
      <c r="P65" s="11" t="s">
        <v>47</v>
      </c>
      <c r="Q65" s="11" t="s">
        <v>42</v>
      </c>
      <c r="R65" s="11">
        <v>0</v>
      </c>
      <c r="S65" s="11">
        <v>1</v>
      </c>
      <c r="T65" s="11" t="s">
        <v>55</v>
      </c>
      <c r="U65" s="11" t="s">
        <v>56</v>
      </c>
      <c r="V65" s="11" t="s">
        <v>57</v>
      </c>
      <c r="W65" s="11" t="s">
        <v>58</v>
      </c>
      <c r="X65" s="13">
        <v>45581</v>
      </c>
    </row>
    <row r="66" spans="1:24" x14ac:dyDescent="0.3">
      <c r="A66" s="8">
        <v>65</v>
      </c>
      <c r="B66" s="8">
        <v>1029</v>
      </c>
      <c r="C66" s="8">
        <v>14</v>
      </c>
      <c r="D66" s="8">
        <v>1</v>
      </c>
      <c r="E66" s="8">
        <v>2499</v>
      </c>
      <c r="F66" s="8">
        <v>0.05</v>
      </c>
      <c r="G66" s="8">
        <v>2374</v>
      </c>
      <c r="H66" s="8">
        <v>14</v>
      </c>
      <c r="I66" s="8" t="s">
        <v>23</v>
      </c>
      <c r="J66" s="8" t="s">
        <v>6</v>
      </c>
      <c r="K66" s="8">
        <v>2499</v>
      </c>
      <c r="L66" s="8">
        <v>1500</v>
      </c>
      <c r="M66" s="8">
        <v>1029</v>
      </c>
      <c r="N66" s="8">
        <v>10</v>
      </c>
      <c r="O66" s="9">
        <v>45937</v>
      </c>
      <c r="P66" s="8" t="s">
        <v>41</v>
      </c>
      <c r="Q66" s="8" t="s">
        <v>43</v>
      </c>
      <c r="R66" s="8">
        <v>7</v>
      </c>
      <c r="S66" s="8">
        <v>10</v>
      </c>
      <c r="T66" s="8" t="s">
        <v>85</v>
      </c>
      <c r="U66" s="8" t="s">
        <v>86</v>
      </c>
      <c r="V66" s="8" t="s">
        <v>87</v>
      </c>
      <c r="W66" s="8" t="s">
        <v>58</v>
      </c>
      <c r="X66" s="10">
        <v>45031</v>
      </c>
    </row>
    <row r="67" spans="1:24" x14ac:dyDescent="0.3">
      <c r="A67" s="11">
        <v>66</v>
      </c>
      <c r="B67" s="11">
        <v>1029</v>
      </c>
      <c r="C67" s="11">
        <v>5</v>
      </c>
      <c r="D67" s="11">
        <v>2</v>
      </c>
      <c r="E67" s="11">
        <v>1299</v>
      </c>
      <c r="F67" s="11">
        <v>0</v>
      </c>
      <c r="G67" s="11">
        <v>2598</v>
      </c>
      <c r="H67" s="11">
        <v>5</v>
      </c>
      <c r="I67" s="11" t="s">
        <v>10</v>
      </c>
      <c r="J67" s="11" t="s">
        <v>11</v>
      </c>
      <c r="K67" s="11">
        <v>1299</v>
      </c>
      <c r="L67" s="11">
        <v>650</v>
      </c>
      <c r="M67" s="11">
        <v>1029</v>
      </c>
      <c r="N67" s="11">
        <v>10</v>
      </c>
      <c r="O67" s="12">
        <v>45937</v>
      </c>
      <c r="P67" s="11" t="s">
        <v>41</v>
      </c>
      <c r="Q67" s="11" t="s">
        <v>43</v>
      </c>
      <c r="R67" s="11">
        <v>7</v>
      </c>
      <c r="S67" s="11">
        <v>10</v>
      </c>
      <c r="T67" s="11" t="s">
        <v>85</v>
      </c>
      <c r="U67" s="11" t="s">
        <v>86</v>
      </c>
      <c r="V67" s="11" t="s">
        <v>87</v>
      </c>
      <c r="W67" s="11" t="s">
        <v>58</v>
      </c>
      <c r="X67" s="13">
        <v>45031</v>
      </c>
    </row>
    <row r="68" spans="1:24" x14ac:dyDescent="0.3">
      <c r="A68" s="8">
        <v>67</v>
      </c>
      <c r="B68" s="8">
        <v>1030</v>
      </c>
      <c r="C68" s="8">
        <v>18</v>
      </c>
      <c r="D68" s="8">
        <v>2</v>
      </c>
      <c r="E68" s="8">
        <v>3299</v>
      </c>
      <c r="F68" s="8">
        <v>0</v>
      </c>
      <c r="G68" s="8">
        <v>6598</v>
      </c>
      <c r="H68" s="8">
        <v>18</v>
      </c>
      <c r="I68" s="8" t="s">
        <v>27</v>
      </c>
      <c r="J68" s="8" t="s">
        <v>19</v>
      </c>
      <c r="K68" s="8">
        <v>3299</v>
      </c>
      <c r="L68" s="8">
        <v>2050</v>
      </c>
      <c r="M68" s="8">
        <v>1030</v>
      </c>
      <c r="N68" s="8">
        <v>23</v>
      </c>
      <c r="O68" s="9">
        <v>45765</v>
      </c>
      <c r="P68" s="8" t="s">
        <v>44</v>
      </c>
      <c r="Q68" s="8" t="s">
        <v>46</v>
      </c>
      <c r="R68" s="8">
        <v>2</v>
      </c>
      <c r="S68" s="8">
        <v>23</v>
      </c>
      <c r="T68" s="8" t="s">
        <v>110</v>
      </c>
      <c r="U68" s="8" t="s">
        <v>64</v>
      </c>
      <c r="V68" s="8" t="s">
        <v>65</v>
      </c>
      <c r="W68" s="8" t="s">
        <v>62</v>
      </c>
      <c r="X68" s="10">
        <v>45543</v>
      </c>
    </row>
    <row r="69" spans="1:24" x14ac:dyDescent="0.3">
      <c r="A69" s="11">
        <v>68</v>
      </c>
      <c r="B69" s="11">
        <v>1030</v>
      </c>
      <c r="C69" s="11">
        <v>14</v>
      </c>
      <c r="D69" s="11">
        <v>2</v>
      </c>
      <c r="E69" s="11">
        <v>2499</v>
      </c>
      <c r="F69" s="11">
        <v>0</v>
      </c>
      <c r="G69" s="11">
        <v>4998</v>
      </c>
      <c r="H69" s="11">
        <v>14</v>
      </c>
      <c r="I69" s="11" t="s">
        <v>23</v>
      </c>
      <c r="J69" s="11" t="s">
        <v>6</v>
      </c>
      <c r="K69" s="11">
        <v>2499</v>
      </c>
      <c r="L69" s="11">
        <v>1500</v>
      </c>
      <c r="M69" s="11">
        <v>1030</v>
      </c>
      <c r="N69" s="11">
        <v>23</v>
      </c>
      <c r="O69" s="12">
        <v>45765</v>
      </c>
      <c r="P69" s="11" t="s">
        <v>44</v>
      </c>
      <c r="Q69" s="11" t="s">
        <v>46</v>
      </c>
      <c r="R69" s="11">
        <v>2</v>
      </c>
      <c r="S69" s="11">
        <v>23</v>
      </c>
      <c r="T69" s="11" t="s">
        <v>110</v>
      </c>
      <c r="U69" s="11" t="s">
        <v>64</v>
      </c>
      <c r="V69" s="11" t="s">
        <v>65</v>
      </c>
      <c r="W69" s="11" t="s">
        <v>62</v>
      </c>
      <c r="X69" s="13">
        <v>45543</v>
      </c>
    </row>
    <row r="70" spans="1:24" x14ac:dyDescent="0.3">
      <c r="A70" s="8">
        <v>69</v>
      </c>
      <c r="B70" s="8">
        <v>1030</v>
      </c>
      <c r="C70" s="8">
        <v>5</v>
      </c>
      <c r="D70" s="8">
        <v>2</v>
      </c>
      <c r="E70" s="8">
        <v>1299</v>
      </c>
      <c r="F70" s="8">
        <v>0</v>
      </c>
      <c r="G70" s="8">
        <v>2598</v>
      </c>
      <c r="H70" s="8">
        <v>5</v>
      </c>
      <c r="I70" s="8" t="s">
        <v>10</v>
      </c>
      <c r="J70" s="8" t="s">
        <v>11</v>
      </c>
      <c r="K70" s="8">
        <v>1299</v>
      </c>
      <c r="L70" s="8">
        <v>650</v>
      </c>
      <c r="M70" s="8">
        <v>1030</v>
      </c>
      <c r="N70" s="8">
        <v>23</v>
      </c>
      <c r="O70" s="9">
        <v>45765</v>
      </c>
      <c r="P70" s="8" t="s">
        <v>44</v>
      </c>
      <c r="Q70" s="8" t="s">
        <v>46</v>
      </c>
      <c r="R70" s="8">
        <v>2</v>
      </c>
      <c r="S70" s="8">
        <v>23</v>
      </c>
      <c r="T70" s="8" t="s">
        <v>110</v>
      </c>
      <c r="U70" s="8" t="s">
        <v>64</v>
      </c>
      <c r="V70" s="8" t="s">
        <v>65</v>
      </c>
      <c r="W70" s="8" t="s">
        <v>62</v>
      </c>
      <c r="X70" s="10">
        <v>45543</v>
      </c>
    </row>
    <row r="71" spans="1:24" x14ac:dyDescent="0.3">
      <c r="A71" s="11">
        <v>70</v>
      </c>
      <c r="B71" s="11">
        <v>1031</v>
      </c>
      <c r="C71" s="11">
        <v>9</v>
      </c>
      <c r="D71" s="11">
        <v>2</v>
      </c>
      <c r="E71" s="11">
        <v>199</v>
      </c>
      <c r="F71" s="11">
        <v>0</v>
      </c>
      <c r="G71" s="11">
        <v>398</v>
      </c>
      <c r="H71" s="11">
        <v>9</v>
      </c>
      <c r="I71" s="11" t="s">
        <v>17</v>
      </c>
      <c r="J71" s="11" t="s">
        <v>16</v>
      </c>
      <c r="K71" s="11">
        <v>199</v>
      </c>
      <c r="L71" s="11">
        <v>65</v>
      </c>
      <c r="M71" s="11">
        <v>1031</v>
      </c>
      <c r="N71" s="11">
        <v>12</v>
      </c>
      <c r="O71" s="12">
        <v>45828</v>
      </c>
      <c r="P71" s="11" t="s">
        <v>47</v>
      </c>
      <c r="Q71" s="11" t="s">
        <v>49</v>
      </c>
      <c r="R71" s="11">
        <v>0</v>
      </c>
      <c r="S71" s="11">
        <v>12</v>
      </c>
      <c r="T71" s="11" t="s">
        <v>90</v>
      </c>
      <c r="U71" s="11" t="s">
        <v>91</v>
      </c>
      <c r="V71" s="11" t="s">
        <v>61</v>
      </c>
      <c r="W71" s="11" t="s">
        <v>66</v>
      </c>
      <c r="X71" s="13">
        <v>45685</v>
      </c>
    </row>
    <row r="72" spans="1:24" x14ac:dyDescent="0.3">
      <c r="A72" s="8">
        <v>71</v>
      </c>
      <c r="B72" s="8">
        <v>1031</v>
      </c>
      <c r="C72" s="8">
        <v>6</v>
      </c>
      <c r="D72" s="8">
        <v>1</v>
      </c>
      <c r="E72" s="8">
        <v>1899</v>
      </c>
      <c r="F72" s="8">
        <v>0</v>
      </c>
      <c r="G72" s="8">
        <v>1899</v>
      </c>
      <c r="H72" s="8">
        <v>6</v>
      </c>
      <c r="I72" s="8" t="s">
        <v>12</v>
      </c>
      <c r="J72" s="8" t="s">
        <v>11</v>
      </c>
      <c r="K72" s="8">
        <v>1899</v>
      </c>
      <c r="L72" s="8">
        <v>950</v>
      </c>
      <c r="M72" s="8">
        <v>1031</v>
      </c>
      <c r="N72" s="8">
        <v>12</v>
      </c>
      <c r="O72" s="9">
        <v>45828</v>
      </c>
      <c r="P72" s="8" t="s">
        <v>47</v>
      </c>
      <c r="Q72" s="8" t="s">
        <v>49</v>
      </c>
      <c r="R72" s="8">
        <v>0</v>
      </c>
      <c r="S72" s="8">
        <v>12</v>
      </c>
      <c r="T72" s="8" t="s">
        <v>90</v>
      </c>
      <c r="U72" s="8" t="s">
        <v>91</v>
      </c>
      <c r="V72" s="8" t="s">
        <v>61</v>
      </c>
      <c r="W72" s="8" t="s">
        <v>66</v>
      </c>
      <c r="X72" s="10">
        <v>45685</v>
      </c>
    </row>
    <row r="73" spans="1:24" x14ac:dyDescent="0.3">
      <c r="A73" s="11">
        <v>72</v>
      </c>
      <c r="B73" s="11">
        <v>1032</v>
      </c>
      <c r="C73" s="11">
        <v>10</v>
      </c>
      <c r="D73" s="11">
        <v>1</v>
      </c>
      <c r="E73" s="11">
        <v>599</v>
      </c>
      <c r="F73" s="11">
        <v>0</v>
      </c>
      <c r="G73" s="11">
        <v>599</v>
      </c>
      <c r="H73" s="11">
        <v>10</v>
      </c>
      <c r="I73" s="11" t="s">
        <v>18</v>
      </c>
      <c r="J73" s="11" t="s">
        <v>19</v>
      </c>
      <c r="K73" s="11">
        <v>599</v>
      </c>
      <c r="L73" s="11">
        <v>260</v>
      </c>
      <c r="M73" s="11">
        <v>1032</v>
      </c>
      <c r="N73" s="11">
        <v>31</v>
      </c>
      <c r="O73" s="12">
        <v>45771</v>
      </c>
      <c r="P73" s="11" t="s">
        <v>41</v>
      </c>
      <c r="Q73" s="11" t="s">
        <v>49</v>
      </c>
      <c r="R73" s="11">
        <v>7</v>
      </c>
      <c r="S73" s="11">
        <v>31</v>
      </c>
      <c r="T73" s="11" t="s">
        <v>118</v>
      </c>
      <c r="U73" s="11" t="s">
        <v>89</v>
      </c>
      <c r="V73" s="11" t="s">
        <v>57</v>
      </c>
      <c r="W73" s="11" t="s">
        <v>58</v>
      </c>
      <c r="X73" s="13">
        <v>45356</v>
      </c>
    </row>
    <row r="74" spans="1:24" x14ac:dyDescent="0.3">
      <c r="A74" s="8">
        <v>73</v>
      </c>
      <c r="B74" s="8">
        <v>1032</v>
      </c>
      <c r="C74" s="8">
        <v>8</v>
      </c>
      <c r="D74" s="8">
        <v>1</v>
      </c>
      <c r="E74" s="8">
        <v>299</v>
      </c>
      <c r="F74" s="8">
        <v>0.05</v>
      </c>
      <c r="G74" s="8">
        <v>284</v>
      </c>
      <c r="H74" s="8">
        <v>8</v>
      </c>
      <c r="I74" s="8" t="s">
        <v>15</v>
      </c>
      <c r="J74" s="8" t="s">
        <v>16</v>
      </c>
      <c r="K74" s="8">
        <v>299</v>
      </c>
      <c r="L74" s="8">
        <v>110</v>
      </c>
      <c r="M74" s="8">
        <v>1032</v>
      </c>
      <c r="N74" s="8">
        <v>31</v>
      </c>
      <c r="O74" s="9">
        <v>45771</v>
      </c>
      <c r="P74" s="8" t="s">
        <v>41</v>
      </c>
      <c r="Q74" s="8" t="s">
        <v>49</v>
      </c>
      <c r="R74" s="8">
        <v>7</v>
      </c>
      <c r="S74" s="8">
        <v>31</v>
      </c>
      <c r="T74" s="8" t="s">
        <v>118</v>
      </c>
      <c r="U74" s="8" t="s">
        <v>89</v>
      </c>
      <c r="V74" s="8" t="s">
        <v>57</v>
      </c>
      <c r="W74" s="8" t="s">
        <v>58</v>
      </c>
      <c r="X74" s="10">
        <v>45356</v>
      </c>
    </row>
    <row r="75" spans="1:24" x14ac:dyDescent="0.3">
      <c r="A75" s="11">
        <v>74</v>
      </c>
      <c r="B75" s="11">
        <v>1032</v>
      </c>
      <c r="C75" s="11">
        <v>19</v>
      </c>
      <c r="D75" s="11">
        <v>2</v>
      </c>
      <c r="E75" s="11">
        <v>499</v>
      </c>
      <c r="F75" s="11">
        <v>0.05</v>
      </c>
      <c r="G75" s="11">
        <v>948</v>
      </c>
      <c r="H75" s="11">
        <v>19</v>
      </c>
      <c r="I75" s="11" t="s">
        <v>28</v>
      </c>
      <c r="J75" s="11" t="s">
        <v>11</v>
      </c>
      <c r="K75" s="11">
        <v>499</v>
      </c>
      <c r="L75" s="11">
        <v>220</v>
      </c>
      <c r="M75" s="11">
        <v>1032</v>
      </c>
      <c r="N75" s="11">
        <v>31</v>
      </c>
      <c r="O75" s="12">
        <v>45771</v>
      </c>
      <c r="P75" s="11" t="s">
        <v>41</v>
      </c>
      <c r="Q75" s="11" t="s">
        <v>49</v>
      </c>
      <c r="R75" s="11">
        <v>7</v>
      </c>
      <c r="S75" s="11">
        <v>31</v>
      </c>
      <c r="T75" s="11" t="s">
        <v>118</v>
      </c>
      <c r="U75" s="11" t="s">
        <v>89</v>
      </c>
      <c r="V75" s="11" t="s">
        <v>57</v>
      </c>
      <c r="W75" s="11" t="s">
        <v>58</v>
      </c>
      <c r="X75" s="13">
        <v>45356</v>
      </c>
    </row>
    <row r="76" spans="1:24" x14ac:dyDescent="0.3">
      <c r="A76" s="8">
        <v>75</v>
      </c>
      <c r="B76" s="8">
        <v>1033</v>
      </c>
      <c r="C76" s="8">
        <v>1</v>
      </c>
      <c r="D76" s="8">
        <v>1</v>
      </c>
      <c r="E76" s="8">
        <v>799</v>
      </c>
      <c r="F76" s="8">
        <v>0.05</v>
      </c>
      <c r="G76" s="8">
        <v>759</v>
      </c>
      <c r="H76" s="8">
        <v>1</v>
      </c>
      <c r="I76" s="8" t="s">
        <v>5</v>
      </c>
      <c r="J76" s="8" t="s">
        <v>6</v>
      </c>
      <c r="K76" s="8">
        <v>799</v>
      </c>
      <c r="L76" s="8">
        <v>420</v>
      </c>
      <c r="M76" s="8">
        <v>1033</v>
      </c>
      <c r="N76" s="8">
        <v>23</v>
      </c>
      <c r="O76" s="9">
        <v>45986</v>
      </c>
      <c r="P76" s="8" t="s">
        <v>48</v>
      </c>
      <c r="Q76" s="8" t="s">
        <v>49</v>
      </c>
      <c r="R76" s="8">
        <v>0</v>
      </c>
      <c r="S76" s="8">
        <v>23</v>
      </c>
      <c r="T76" s="8" t="s">
        <v>110</v>
      </c>
      <c r="U76" s="8" t="s">
        <v>64</v>
      </c>
      <c r="V76" s="8" t="s">
        <v>65</v>
      </c>
      <c r="W76" s="8" t="s">
        <v>62</v>
      </c>
      <c r="X76" s="10">
        <v>45543</v>
      </c>
    </row>
    <row r="77" spans="1:24" x14ac:dyDescent="0.3">
      <c r="A77" s="11">
        <v>76</v>
      </c>
      <c r="B77" s="11">
        <v>1033</v>
      </c>
      <c r="C77" s="11">
        <v>4</v>
      </c>
      <c r="D77" s="11">
        <v>1</v>
      </c>
      <c r="E77" s="11">
        <v>2199</v>
      </c>
      <c r="F77" s="11">
        <v>0.15</v>
      </c>
      <c r="G77" s="11">
        <v>1869</v>
      </c>
      <c r="H77" s="11">
        <v>4</v>
      </c>
      <c r="I77" s="11" t="s">
        <v>9</v>
      </c>
      <c r="J77" s="11" t="s">
        <v>6</v>
      </c>
      <c r="K77" s="11">
        <v>2199</v>
      </c>
      <c r="L77" s="11">
        <v>1250</v>
      </c>
      <c r="M77" s="11">
        <v>1033</v>
      </c>
      <c r="N77" s="11">
        <v>23</v>
      </c>
      <c r="O77" s="12">
        <v>45986</v>
      </c>
      <c r="P77" s="11" t="s">
        <v>48</v>
      </c>
      <c r="Q77" s="11" t="s">
        <v>49</v>
      </c>
      <c r="R77" s="11">
        <v>0</v>
      </c>
      <c r="S77" s="11">
        <v>23</v>
      </c>
      <c r="T77" s="11" t="s">
        <v>110</v>
      </c>
      <c r="U77" s="11" t="s">
        <v>64</v>
      </c>
      <c r="V77" s="11" t="s">
        <v>65</v>
      </c>
      <c r="W77" s="11" t="s">
        <v>62</v>
      </c>
      <c r="X77" s="13">
        <v>45543</v>
      </c>
    </row>
    <row r="78" spans="1:24" x14ac:dyDescent="0.3">
      <c r="A78" s="8">
        <v>77</v>
      </c>
      <c r="B78" s="8">
        <v>1033</v>
      </c>
      <c r="C78" s="8">
        <v>9</v>
      </c>
      <c r="D78" s="8">
        <v>1</v>
      </c>
      <c r="E78" s="8">
        <v>199</v>
      </c>
      <c r="F78" s="8">
        <v>0.2</v>
      </c>
      <c r="G78" s="8">
        <v>159</v>
      </c>
      <c r="H78" s="8">
        <v>9</v>
      </c>
      <c r="I78" s="8" t="s">
        <v>17</v>
      </c>
      <c r="J78" s="8" t="s">
        <v>16</v>
      </c>
      <c r="K78" s="8">
        <v>199</v>
      </c>
      <c r="L78" s="8">
        <v>65</v>
      </c>
      <c r="M78" s="8">
        <v>1033</v>
      </c>
      <c r="N78" s="8">
        <v>23</v>
      </c>
      <c r="O78" s="9">
        <v>45986</v>
      </c>
      <c r="P78" s="8" t="s">
        <v>48</v>
      </c>
      <c r="Q78" s="8" t="s">
        <v>49</v>
      </c>
      <c r="R78" s="8">
        <v>0</v>
      </c>
      <c r="S78" s="8">
        <v>23</v>
      </c>
      <c r="T78" s="8" t="s">
        <v>110</v>
      </c>
      <c r="U78" s="8" t="s">
        <v>64</v>
      </c>
      <c r="V78" s="8" t="s">
        <v>65</v>
      </c>
      <c r="W78" s="8" t="s">
        <v>62</v>
      </c>
      <c r="X78" s="10">
        <v>45543</v>
      </c>
    </row>
    <row r="79" spans="1:24" x14ac:dyDescent="0.3">
      <c r="A79" s="11">
        <v>78</v>
      </c>
      <c r="B79" s="11">
        <v>1034</v>
      </c>
      <c r="C79" s="11">
        <v>13</v>
      </c>
      <c r="D79" s="11">
        <v>2</v>
      </c>
      <c r="E79" s="11">
        <v>10999</v>
      </c>
      <c r="F79" s="11">
        <v>0</v>
      </c>
      <c r="G79" s="11">
        <v>21998</v>
      </c>
      <c r="H79" s="11">
        <v>13</v>
      </c>
      <c r="I79" s="11" t="s">
        <v>22</v>
      </c>
      <c r="J79" s="11" t="s">
        <v>6</v>
      </c>
      <c r="K79" s="11">
        <v>10999</v>
      </c>
      <c r="L79" s="11">
        <v>7900</v>
      </c>
      <c r="M79" s="11">
        <v>1034</v>
      </c>
      <c r="N79" s="11">
        <v>21</v>
      </c>
      <c r="O79" s="12">
        <v>45881</v>
      </c>
      <c r="P79" s="11" t="s">
        <v>48</v>
      </c>
      <c r="Q79" s="11" t="s">
        <v>45</v>
      </c>
      <c r="R79" s="11">
        <v>0</v>
      </c>
      <c r="S79" s="11">
        <v>21</v>
      </c>
      <c r="T79" s="11" t="s">
        <v>108</v>
      </c>
      <c r="U79" s="11" t="s">
        <v>56</v>
      </c>
      <c r="V79" s="11" t="s">
        <v>57</v>
      </c>
      <c r="W79" s="11" t="s">
        <v>66</v>
      </c>
      <c r="X79" s="13">
        <v>45165</v>
      </c>
    </row>
    <row r="80" spans="1:24" x14ac:dyDescent="0.3">
      <c r="A80" s="8">
        <v>79</v>
      </c>
      <c r="B80" s="8">
        <v>1035</v>
      </c>
      <c r="C80" s="8">
        <v>12</v>
      </c>
      <c r="D80" s="8">
        <v>1</v>
      </c>
      <c r="E80" s="8">
        <v>399</v>
      </c>
      <c r="F80" s="8">
        <v>0.2</v>
      </c>
      <c r="G80" s="8">
        <v>319</v>
      </c>
      <c r="H80" s="8">
        <v>12</v>
      </c>
      <c r="I80" s="8" t="s">
        <v>21</v>
      </c>
      <c r="J80" s="8" t="s">
        <v>14</v>
      </c>
      <c r="K80" s="8">
        <v>399</v>
      </c>
      <c r="L80" s="8">
        <v>140</v>
      </c>
      <c r="M80" s="8">
        <v>1035</v>
      </c>
      <c r="N80" s="8">
        <v>17</v>
      </c>
      <c r="O80" s="9">
        <v>45680</v>
      </c>
      <c r="P80" s="8" t="s">
        <v>44</v>
      </c>
      <c r="Q80" s="8" t="s">
        <v>46</v>
      </c>
      <c r="R80" s="8">
        <v>4</v>
      </c>
      <c r="S80" s="8">
        <v>17</v>
      </c>
      <c r="T80" s="8" t="s">
        <v>100</v>
      </c>
      <c r="U80" s="8" t="s">
        <v>101</v>
      </c>
      <c r="V80" s="8" t="s">
        <v>78</v>
      </c>
      <c r="W80" s="8" t="s">
        <v>62</v>
      </c>
      <c r="X80" s="10">
        <v>44959</v>
      </c>
    </row>
    <row r="81" spans="1:24" x14ac:dyDescent="0.3">
      <c r="A81" s="11">
        <v>80</v>
      </c>
      <c r="B81" s="11">
        <v>1035</v>
      </c>
      <c r="C81" s="11">
        <v>14</v>
      </c>
      <c r="D81" s="11">
        <v>2</v>
      </c>
      <c r="E81" s="11">
        <v>2499</v>
      </c>
      <c r="F81" s="11">
        <v>0.15</v>
      </c>
      <c r="G81" s="11">
        <v>4248</v>
      </c>
      <c r="H81" s="11">
        <v>14</v>
      </c>
      <c r="I81" s="11" t="s">
        <v>23</v>
      </c>
      <c r="J81" s="11" t="s">
        <v>6</v>
      </c>
      <c r="K81" s="11">
        <v>2499</v>
      </c>
      <c r="L81" s="11">
        <v>1500</v>
      </c>
      <c r="M81" s="11">
        <v>1035</v>
      </c>
      <c r="N81" s="11">
        <v>17</v>
      </c>
      <c r="O81" s="12">
        <v>45680</v>
      </c>
      <c r="P81" s="11" t="s">
        <v>44</v>
      </c>
      <c r="Q81" s="11" t="s">
        <v>46</v>
      </c>
      <c r="R81" s="11">
        <v>4</v>
      </c>
      <c r="S81" s="11">
        <v>17</v>
      </c>
      <c r="T81" s="11" t="s">
        <v>100</v>
      </c>
      <c r="U81" s="11" t="s">
        <v>101</v>
      </c>
      <c r="V81" s="11" t="s">
        <v>78</v>
      </c>
      <c r="W81" s="11" t="s">
        <v>62</v>
      </c>
      <c r="X81" s="13">
        <v>44959</v>
      </c>
    </row>
    <row r="82" spans="1:24" x14ac:dyDescent="0.3">
      <c r="A82" s="8">
        <v>81</v>
      </c>
      <c r="B82" s="8">
        <v>1036</v>
      </c>
      <c r="C82" s="8">
        <v>17</v>
      </c>
      <c r="D82" s="8">
        <v>1</v>
      </c>
      <c r="E82" s="8">
        <v>8499</v>
      </c>
      <c r="F82" s="8">
        <v>0.2</v>
      </c>
      <c r="G82" s="8">
        <v>6799</v>
      </c>
      <c r="H82" s="8">
        <v>17</v>
      </c>
      <c r="I82" s="8" t="s">
        <v>26</v>
      </c>
      <c r="J82" s="8" t="s">
        <v>14</v>
      </c>
      <c r="K82" s="8">
        <v>8499</v>
      </c>
      <c r="L82" s="8">
        <v>6100</v>
      </c>
      <c r="M82" s="8">
        <v>1036</v>
      </c>
      <c r="N82" s="8">
        <v>21</v>
      </c>
      <c r="O82" s="9">
        <v>45997</v>
      </c>
      <c r="P82" s="8" t="s">
        <v>47</v>
      </c>
      <c r="Q82" s="8" t="s">
        <v>46</v>
      </c>
      <c r="R82" s="8">
        <v>0</v>
      </c>
      <c r="S82" s="8">
        <v>21</v>
      </c>
      <c r="T82" s="8" t="s">
        <v>108</v>
      </c>
      <c r="U82" s="8" t="s">
        <v>56</v>
      </c>
      <c r="V82" s="8" t="s">
        <v>57</v>
      </c>
      <c r="W82" s="8" t="s">
        <v>66</v>
      </c>
      <c r="X82" s="10">
        <v>45165</v>
      </c>
    </row>
    <row r="83" spans="1:24" x14ac:dyDescent="0.3">
      <c r="A83" s="11">
        <v>82</v>
      </c>
      <c r="B83" s="11">
        <v>1036</v>
      </c>
      <c r="C83" s="11">
        <v>10</v>
      </c>
      <c r="D83" s="11">
        <v>1</v>
      </c>
      <c r="E83" s="11">
        <v>599</v>
      </c>
      <c r="F83" s="11">
        <v>0</v>
      </c>
      <c r="G83" s="11">
        <v>599</v>
      </c>
      <c r="H83" s="11">
        <v>10</v>
      </c>
      <c r="I83" s="11" t="s">
        <v>18</v>
      </c>
      <c r="J83" s="11" t="s">
        <v>19</v>
      </c>
      <c r="K83" s="11">
        <v>599</v>
      </c>
      <c r="L83" s="11">
        <v>260</v>
      </c>
      <c r="M83" s="11">
        <v>1036</v>
      </c>
      <c r="N83" s="11">
        <v>21</v>
      </c>
      <c r="O83" s="12">
        <v>45997</v>
      </c>
      <c r="P83" s="11" t="s">
        <v>47</v>
      </c>
      <c r="Q83" s="11" t="s">
        <v>46</v>
      </c>
      <c r="R83" s="11">
        <v>0</v>
      </c>
      <c r="S83" s="11">
        <v>21</v>
      </c>
      <c r="T83" s="11" t="s">
        <v>108</v>
      </c>
      <c r="U83" s="11" t="s">
        <v>56</v>
      </c>
      <c r="V83" s="11" t="s">
        <v>57</v>
      </c>
      <c r="W83" s="11" t="s">
        <v>66</v>
      </c>
      <c r="X83" s="13">
        <v>45165</v>
      </c>
    </row>
    <row r="84" spans="1:24" x14ac:dyDescent="0.3">
      <c r="A84" s="8">
        <v>83</v>
      </c>
      <c r="B84" s="8">
        <v>1036</v>
      </c>
      <c r="C84" s="8">
        <v>14</v>
      </c>
      <c r="D84" s="8">
        <v>1</v>
      </c>
      <c r="E84" s="8">
        <v>2499</v>
      </c>
      <c r="F84" s="8">
        <v>0.2</v>
      </c>
      <c r="G84" s="8">
        <v>1999</v>
      </c>
      <c r="H84" s="8">
        <v>14</v>
      </c>
      <c r="I84" s="8" t="s">
        <v>23</v>
      </c>
      <c r="J84" s="8" t="s">
        <v>6</v>
      </c>
      <c r="K84" s="8">
        <v>2499</v>
      </c>
      <c r="L84" s="8">
        <v>1500</v>
      </c>
      <c r="M84" s="8">
        <v>1036</v>
      </c>
      <c r="N84" s="8">
        <v>21</v>
      </c>
      <c r="O84" s="9">
        <v>45997</v>
      </c>
      <c r="P84" s="8" t="s">
        <v>47</v>
      </c>
      <c r="Q84" s="8" t="s">
        <v>46</v>
      </c>
      <c r="R84" s="8">
        <v>0</v>
      </c>
      <c r="S84" s="8">
        <v>21</v>
      </c>
      <c r="T84" s="8" t="s">
        <v>108</v>
      </c>
      <c r="U84" s="8" t="s">
        <v>56</v>
      </c>
      <c r="V84" s="8" t="s">
        <v>57</v>
      </c>
      <c r="W84" s="8" t="s">
        <v>66</v>
      </c>
      <c r="X84" s="10">
        <v>45165</v>
      </c>
    </row>
    <row r="85" spans="1:24" x14ac:dyDescent="0.3">
      <c r="A85" s="11">
        <v>84</v>
      </c>
      <c r="B85" s="11">
        <v>1037</v>
      </c>
      <c r="C85" s="11">
        <v>13</v>
      </c>
      <c r="D85" s="11">
        <v>1</v>
      </c>
      <c r="E85" s="11">
        <v>10999</v>
      </c>
      <c r="F85" s="11">
        <v>0</v>
      </c>
      <c r="G85" s="11">
        <v>10999</v>
      </c>
      <c r="H85" s="11">
        <v>13</v>
      </c>
      <c r="I85" s="11" t="s">
        <v>22</v>
      </c>
      <c r="J85" s="11" t="s">
        <v>6</v>
      </c>
      <c r="K85" s="11">
        <v>10999</v>
      </c>
      <c r="L85" s="11">
        <v>7900</v>
      </c>
      <c r="M85" s="11">
        <v>1037</v>
      </c>
      <c r="N85" s="11">
        <v>25</v>
      </c>
      <c r="O85" s="12">
        <v>46004</v>
      </c>
      <c r="P85" s="11" t="s">
        <v>44</v>
      </c>
      <c r="Q85" s="11" t="s">
        <v>45</v>
      </c>
      <c r="R85" s="11">
        <v>2</v>
      </c>
      <c r="S85" s="11">
        <v>25</v>
      </c>
      <c r="T85" s="11" t="s">
        <v>112</v>
      </c>
      <c r="U85" s="11" t="s">
        <v>71</v>
      </c>
      <c r="V85" s="11" t="s">
        <v>72</v>
      </c>
      <c r="W85" s="11" t="s">
        <v>58</v>
      </c>
      <c r="X85" s="13">
        <v>45501</v>
      </c>
    </row>
    <row r="86" spans="1:24" x14ac:dyDescent="0.3">
      <c r="A86" s="8">
        <v>85</v>
      </c>
      <c r="B86" s="8">
        <v>1037</v>
      </c>
      <c r="C86" s="8">
        <v>18</v>
      </c>
      <c r="D86" s="8">
        <v>1</v>
      </c>
      <c r="E86" s="8">
        <v>3299</v>
      </c>
      <c r="F86" s="8">
        <v>0.15</v>
      </c>
      <c r="G86" s="8">
        <v>2804</v>
      </c>
      <c r="H86" s="8">
        <v>18</v>
      </c>
      <c r="I86" s="8" t="s">
        <v>27</v>
      </c>
      <c r="J86" s="8" t="s">
        <v>19</v>
      </c>
      <c r="K86" s="8">
        <v>3299</v>
      </c>
      <c r="L86" s="8">
        <v>2050</v>
      </c>
      <c r="M86" s="8">
        <v>1037</v>
      </c>
      <c r="N86" s="8">
        <v>25</v>
      </c>
      <c r="O86" s="9">
        <v>46004</v>
      </c>
      <c r="P86" s="8" t="s">
        <v>44</v>
      </c>
      <c r="Q86" s="8" t="s">
        <v>45</v>
      </c>
      <c r="R86" s="8">
        <v>2</v>
      </c>
      <c r="S86" s="8">
        <v>25</v>
      </c>
      <c r="T86" s="8" t="s">
        <v>112</v>
      </c>
      <c r="U86" s="8" t="s">
        <v>71</v>
      </c>
      <c r="V86" s="8" t="s">
        <v>72</v>
      </c>
      <c r="W86" s="8" t="s">
        <v>58</v>
      </c>
      <c r="X86" s="10">
        <v>45501</v>
      </c>
    </row>
    <row r="87" spans="1:24" x14ac:dyDescent="0.3">
      <c r="A87" s="11">
        <v>86</v>
      </c>
      <c r="B87" s="11">
        <v>1037</v>
      </c>
      <c r="C87" s="11">
        <v>1</v>
      </c>
      <c r="D87" s="11">
        <v>1</v>
      </c>
      <c r="E87" s="11">
        <v>799</v>
      </c>
      <c r="F87" s="11">
        <v>0.05</v>
      </c>
      <c r="G87" s="11">
        <v>759</v>
      </c>
      <c r="H87" s="11">
        <v>1</v>
      </c>
      <c r="I87" s="11" t="s">
        <v>5</v>
      </c>
      <c r="J87" s="11" t="s">
        <v>6</v>
      </c>
      <c r="K87" s="11">
        <v>799</v>
      </c>
      <c r="L87" s="11">
        <v>420</v>
      </c>
      <c r="M87" s="11">
        <v>1037</v>
      </c>
      <c r="N87" s="11">
        <v>25</v>
      </c>
      <c r="O87" s="12">
        <v>46004</v>
      </c>
      <c r="P87" s="11" t="s">
        <v>44</v>
      </c>
      <c r="Q87" s="11" t="s">
        <v>45</v>
      </c>
      <c r="R87" s="11">
        <v>2</v>
      </c>
      <c r="S87" s="11">
        <v>25</v>
      </c>
      <c r="T87" s="11" t="s">
        <v>112</v>
      </c>
      <c r="U87" s="11" t="s">
        <v>71</v>
      </c>
      <c r="V87" s="11" t="s">
        <v>72</v>
      </c>
      <c r="W87" s="11" t="s">
        <v>58</v>
      </c>
      <c r="X87" s="13">
        <v>45501</v>
      </c>
    </row>
    <row r="88" spans="1:24" x14ac:dyDescent="0.3">
      <c r="A88" s="8">
        <v>87</v>
      </c>
      <c r="B88" s="8">
        <v>1038</v>
      </c>
      <c r="C88" s="8">
        <v>6</v>
      </c>
      <c r="D88" s="8">
        <v>2</v>
      </c>
      <c r="E88" s="8">
        <v>1899</v>
      </c>
      <c r="F88" s="8">
        <v>0.15</v>
      </c>
      <c r="G88" s="8">
        <v>3228</v>
      </c>
      <c r="H88" s="8">
        <v>6</v>
      </c>
      <c r="I88" s="8" t="s">
        <v>12</v>
      </c>
      <c r="J88" s="8" t="s">
        <v>11</v>
      </c>
      <c r="K88" s="8">
        <v>1899</v>
      </c>
      <c r="L88" s="8">
        <v>950</v>
      </c>
      <c r="M88" s="8">
        <v>1038</v>
      </c>
      <c r="N88" s="8">
        <v>30</v>
      </c>
      <c r="O88" s="9">
        <v>45884</v>
      </c>
      <c r="P88" s="8" t="s">
        <v>41</v>
      </c>
      <c r="Q88" s="8" t="s">
        <v>42</v>
      </c>
      <c r="R88" s="8">
        <v>6</v>
      </c>
      <c r="S88" s="8">
        <v>30</v>
      </c>
      <c r="T88" s="8" t="s">
        <v>117</v>
      </c>
      <c r="U88" s="8" t="s">
        <v>86</v>
      </c>
      <c r="V88" s="8" t="s">
        <v>87</v>
      </c>
      <c r="W88" s="8" t="s">
        <v>66</v>
      </c>
      <c r="X88" s="10">
        <v>45485</v>
      </c>
    </row>
    <row r="89" spans="1:24" x14ac:dyDescent="0.3">
      <c r="A89" s="11">
        <v>88</v>
      </c>
      <c r="B89" s="11">
        <v>1038</v>
      </c>
      <c r="C89" s="11">
        <v>3</v>
      </c>
      <c r="D89" s="11">
        <v>1</v>
      </c>
      <c r="E89" s="11">
        <v>1799</v>
      </c>
      <c r="F89" s="11">
        <v>0</v>
      </c>
      <c r="G89" s="11">
        <v>1799</v>
      </c>
      <c r="H89" s="11">
        <v>3</v>
      </c>
      <c r="I89" s="11" t="s">
        <v>8</v>
      </c>
      <c r="J89" s="11" t="s">
        <v>6</v>
      </c>
      <c r="K89" s="11">
        <v>1799</v>
      </c>
      <c r="L89" s="11">
        <v>980</v>
      </c>
      <c r="M89" s="11">
        <v>1038</v>
      </c>
      <c r="N89" s="11">
        <v>30</v>
      </c>
      <c r="O89" s="12">
        <v>45884</v>
      </c>
      <c r="P89" s="11" t="s">
        <v>41</v>
      </c>
      <c r="Q89" s="11" t="s">
        <v>42</v>
      </c>
      <c r="R89" s="11">
        <v>6</v>
      </c>
      <c r="S89" s="11">
        <v>30</v>
      </c>
      <c r="T89" s="11" t="s">
        <v>117</v>
      </c>
      <c r="U89" s="11" t="s">
        <v>86</v>
      </c>
      <c r="V89" s="11" t="s">
        <v>87</v>
      </c>
      <c r="W89" s="11" t="s">
        <v>66</v>
      </c>
      <c r="X89" s="13">
        <v>45485</v>
      </c>
    </row>
    <row r="90" spans="1:24" x14ac:dyDescent="0.3">
      <c r="A90" s="8">
        <v>89</v>
      </c>
      <c r="B90" s="8">
        <v>1038</v>
      </c>
      <c r="C90" s="8">
        <v>10</v>
      </c>
      <c r="D90" s="8">
        <v>2</v>
      </c>
      <c r="E90" s="8">
        <v>599</v>
      </c>
      <c r="F90" s="8">
        <v>0</v>
      </c>
      <c r="G90" s="8">
        <v>1198</v>
      </c>
      <c r="H90" s="8">
        <v>10</v>
      </c>
      <c r="I90" s="8" t="s">
        <v>18</v>
      </c>
      <c r="J90" s="8" t="s">
        <v>19</v>
      </c>
      <c r="K90" s="8">
        <v>599</v>
      </c>
      <c r="L90" s="8">
        <v>260</v>
      </c>
      <c r="M90" s="8">
        <v>1038</v>
      </c>
      <c r="N90" s="8">
        <v>30</v>
      </c>
      <c r="O90" s="9">
        <v>45884</v>
      </c>
      <c r="P90" s="8" t="s">
        <v>41</v>
      </c>
      <c r="Q90" s="8" t="s">
        <v>42</v>
      </c>
      <c r="R90" s="8">
        <v>6</v>
      </c>
      <c r="S90" s="8">
        <v>30</v>
      </c>
      <c r="T90" s="8" t="s">
        <v>117</v>
      </c>
      <c r="U90" s="8" t="s">
        <v>86</v>
      </c>
      <c r="V90" s="8" t="s">
        <v>87</v>
      </c>
      <c r="W90" s="8" t="s">
        <v>66</v>
      </c>
      <c r="X90" s="10">
        <v>45485</v>
      </c>
    </row>
    <row r="91" spans="1:24" x14ac:dyDescent="0.3">
      <c r="A91" s="11">
        <v>90</v>
      </c>
      <c r="B91" s="11">
        <v>1038</v>
      </c>
      <c r="C91" s="11">
        <v>17</v>
      </c>
      <c r="D91" s="11">
        <v>2</v>
      </c>
      <c r="E91" s="11">
        <v>8499</v>
      </c>
      <c r="F91" s="11">
        <v>0</v>
      </c>
      <c r="G91" s="11">
        <v>16998</v>
      </c>
      <c r="H91" s="11">
        <v>17</v>
      </c>
      <c r="I91" s="11" t="s">
        <v>26</v>
      </c>
      <c r="J91" s="11" t="s">
        <v>14</v>
      </c>
      <c r="K91" s="11">
        <v>8499</v>
      </c>
      <c r="L91" s="11">
        <v>6100</v>
      </c>
      <c r="M91" s="11">
        <v>1038</v>
      </c>
      <c r="N91" s="11">
        <v>30</v>
      </c>
      <c r="O91" s="12">
        <v>45884</v>
      </c>
      <c r="P91" s="11" t="s">
        <v>41</v>
      </c>
      <c r="Q91" s="11" t="s">
        <v>42</v>
      </c>
      <c r="R91" s="11">
        <v>6</v>
      </c>
      <c r="S91" s="11">
        <v>30</v>
      </c>
      <c r="T91" s="11" t="s">
        <v>117</v>
      </c>
      <c r="U91" s="11" t="s">
        <v>86</v>
      </c>
      <c r="V91" s="11" t="s">
        <v>87</v>
      </c>
      <c r="W91" s="11" t="s">
        <v>66</v>
      </c>
      <c r="X91" s="13">
        <v>45485</v>
      </c>
    </row>
    <row r="92" spans="1:24" x14ac:dyDescent="0.3">
      <c r="A92" s="8">
        <v>91</v>
      </c>
      <c r="B92" s="8">
        <v>1039</v>
      </c>
      <c r="C92" s="8">
        <v>15</v>
      </c>
      <c r="D92" s="8">
        <v>1</v>
      </c>
      <c r="E92" s="8">
        <v>349</v>
      </c>
      <c r="F92" s="8">
        <v>0.2</v>
      </c>
      <c r="G92" s="8">
        <v>279</v>
      </c>
      <c r="H92" s="8">
        <v>15</v>
      </c>
      <c r="I92" s="8" t="s">
        <v>24</v>
      </c>
      <c r="J92" s="8" t="s">
        <v>11</v>
      </c>
      <c r="K92" s="8">
        <v>349</v>
      </c>
      <c r="L92" s="8">
        <v>120</v>
      </c>
      <c r="M92" s="8">
        <v>1039</v>
      </c>
      <c r="N92" s="8">
        <v>2</v>
      </c>
      <c r="O92" s="9">
        <v>45681</v>
      </c>
      <c r="P92" s="8" t="s">
        <v>41</v>
      </c>
      <c r="Q92" s="8" t="s">
        <v>45</v>
      </c>
      <c r="R92" s="8">
        <v>4</v>
      </c>
      <c r="S92" s="8">
        <v>2</v>
      </c>
      <c r="T92" s="8" t="s">
        <v>59</v>
      </c>
      <c r="U92" s="8" t="s">
        <v>60</v>
      </c>
      <c r="V92" s="8" t="s">
        <v>61</v>
      </c>
      <c r="W92" s="8" t="s">
        <v>62</v>
      </c>
      <c r="X92" s="10">
        <v>45041</v>
      </c>
    </row>
    <row r="93" spans="1:24" x14ac:dyDescent="0.3">
      <c r="A93" s="11">
        <v>92</v>
      </c>
      <c r="B93" s="11">
        <v>1040</v>
      </c>
      <c r="C93" s="11">
        <v>13</v>
      </c>
      <c r="D93" s="11">
        <v>2</v>
      </c>
      <c r="E93" s="11">
        <v>10999</v>
      </c>
      <c r="F93" s="11">
        <v>0</v>
      </c>
      <c r="G93" s="11">
        <v>21998</v>
      </c>
      <c r="H93" s="11">
        <v>13</v>
      </c>
      <c r="I93" s="11" t="s">
        <v>22</v>
      </c>
      <c r="J93" s="11" t="s">
        <v>6</v>
      </c>
      <c r="K93" s="11">
        <v>10999</v>
      </c>
      <c r="L93" s="11">
        <v>7900</v>
      </c>
      <c r="M93" s="11">
        <v>1040</v>
      </c>
      <c r="N93" s="11">
        <v>37</v>
      </c>
      <c r="O93" s="12">
        <v>45757</v>
      </c>
      <c r="P93" s="11" t="s">
        <v>44</v>
      </c>
      <c r="Q93" s="11" t="s">
        <v>49</v>
      </c>
      <c r="R93" s="11">
        <v>6</v>
      </c>
      <c r="S93" s="11">
        <v>37</v>
      </c>
      <c r="T93" s="11" t="s">
        <v>124</v>
      </c>
      <c r="U93" s="11" t="s">
        <v>101</v>
      </c>
      <c r="V93" s="11" t="s">
        <v>78</v>
      </c>
      <c r="W93" s="11" t="s">
        <v>58</v>
      </c>
      <c r="X93" s="13">
        <v>44933</v>
      </c>
    </row>
    <row r="94" spans="1:24" x14ac:dyDescent="0.3">
      <c r="A94" s="8">
        <v>93</v>
      </c>
      <c r="B94" s="8">
        <v>1040</v>
      </c>
      <c r="C94" s="8">
        <v>8</v>
      </c>
      <c r="D94" s="8">
        <v>2</v>
      </c>
      <c r="E94" s="8">
        <v>299</v>
      </c>
      <c r="F94" s="8">
        <v>0</v>
      </c>
      <c r="G94" s="8">
        <v>598</v>
      </c>
      <c r="H94" s="8">
        <v>8</v>
      </c>
      <c r="I94" s="8" t="s">
        <v>15</v>
      </c>
      <c r="J94" s="8" t="s">
        <v>16</v>
      </c>
      <c r="K94" s="8">
        <v>299</v>
      </c>
      <c r="L94" s="8">
        <v>110</v>
      </c>
      <c r="M94" s="8">
        <v>1040</v>
      </c>
      <c r="N94" s="8">
        <v>37</v>
      </c>
      <c r="O94" s="9">
        <v>45757</v>
      </c>
      <c r="P94" s="8" t="s">
        <v>44</v>
      </c>
      <c r="Q94" s="8" t="s">
        <v>49</v>
      </c>
      <c r="R94" s="8">
        <v>6</v>
      </c>
      <c r="S94" s="8">
        <v>37</v>
      </c>
      <c r="T94" s="8" t="s">
        <v>124</v>
      </c>
      <c r="U94" s="8" t="s">
        <v>101</v>
      </c>
      <c r="V94" s="8" t="s">
        <v>78</v>
      </c>
      <c r="W94" s="8" t="s">
        <v>58</v>
      </c>
      <c r="X94" s="10">
        <v>44933</v>
      </c>
    </row>
    <row r="95" spans="1:24" x14ac:dyDescent="0.3">
      <c r="A95" s="11">
        <v>94</v>
      </c>
      <c r="B95" s="11">
        <v>1040</v>
      </c>
      <c r="C95" s="11">
        <v>5</v>
      </c>
      <c r="D95" s="11">
        <v>1</v>
      </c>
      <c r="E95" s="11">
        <v>1299</v>
      </c>
      <c r="F95" s="11">
        <v>0.2</v>
      </c>
      <c r="G95" s="11">
        <v>1039</v>
      </c>
      <c r="H95" s="11">
        <v>5</v>
      </c>
      <c r="I95" s="11" t="s">
        <v>10</v>
      </c>
      <c r="J95" s="11" t="s">
        <v>11</v>
      </c>
      <c r="K95" s="11">
        <v>1299</v>
      </c>
      <c r="L95" s="11">
        <v>650</v>
      </c>
      <c r="M95" s="11">
        <v>1040</v>
      </c>
      <c r="N95" s="11">
        <v>37</v>
      </c>
      <c r="O95" s="12">
        <v>45757</v>
      </c>
      <c r="P95" s="11" t="s">
        <v>44</v>
      </c>
      <c r="Q95" s="11" t="s">
        <v>49</v>
      </c>
      <c r="R95" s="11">
        <v>6</v>
      </c>
      <c r="S95" s="11">
        <v>37</v>
      </c>
      <c r="T95" s="11" t="s">
        <v>124</v>
      </c>
      <c r="U95" s="11" t="s">
        <v>101</v>
      </c>
      <c r="V95" s="11" t="s">
        <v>78</v>
      </c>
      <c r="W95" s="11" t="s">
        <v>58</v>
      </c>
      <c r="X95" s="13">
        <v>44933</v>
      </c>
    </row>
    <row r="96" spans="1:24" x14ac:dyDescent="0.3">
      <c r="A96" s="8">
        <v>95</v>
      </c>
      <c r="B96" s="8">
        <v>1040</v>
      </c>
      <c r="C96" s="8">
        <v>1</v>
      </c>
      <c r="D96" s="8">
        <v>1</v>
      </c>
      <c r="E96" s="8">
        <v>799</v>
      </c>
      <c r="F96" s="8">
        <v>0</v>
      </c>
      <c r="G96" s="8">
        <v>799</v>
      </c>
      <c r="H96" s="8">
        <v>1</v>
      </c>
      <c r="I96" s="8" t="s">
        <v>5</v>
      </c>
      <c r="J96" s="8" t="s">
        <v>6</v>
      </c>
      <c r="K96" s="8">
        <v>799</v>
      </c>
      <c r="L96" s="8">
        <v>420</v>
      </c>
      <c r="M96" s="8">
        <v>1040</v>
      </c>
      <c r="N96" s="8">
        <v>37</v>
      </c>
      <c r="O96" s="9">
        <v>45757</v>
      </c>
      <c r="P96" s="8" t="s">
        <v>44</v>
      </c>
      <c r="Q96" s="8" t="s">
        <v>49</v>
      </c>
      <c r="R96" s="8">
        <v>6</v>
      </c>
      <c r="S96" s="8">
        <v>37</v>
      </c>
      <c r="T96" s="8" t="s">
        <v>124</v>
      </c>
      <c r="U96" s="8" t="s">
        <v>101</v>
      </c>
      <c r="V96" s="8" t="s">
        <v>78</v>
      </c>
      <c r="W96" s="8" t="s">
        <v>58</v>
      </c>
      <c r="X96" s="10">
        <v>44933</v>
      </c>
    </row>
    <row r="97" spans="1:24" x14ac:dyDescent="0.3">
      <c r="A97" s="11">
        <v>96</v>
      </c>
      <c r="B97" s="11">
        <v>1041</v>
      </c>
      <c r="C97" s="11">
        <v>5</v>
      </c>
      <c r="D97" s="11">
        <v>3</v>
      </c>
      <c r="E97" s="11">
        <v>1299</v>
      </c>
      <c r="F97" s="11">
        <v>0.1</v>
      </c>
      <c r="G97" s="11">
        <v>3507</v>
      </c>
      <c r="H97" s="11">
        <v>5</v>
      </c>
      <c r="I97" s="11" t="s">
        <v>10</v>
      </c>
      <c r="J97" s="11" t="s">
        <v>11</v>
      </c>
      <c r="K97" s="11">
        <v>1299</v>
      </c>
      <c r="L97" s="11">
        <v>650</v>
      </c>
      <c r="M97" s="11">
        <v>1041</v>
      </c>
      <c r="N97" s="11">
        <v>36</v>
      </c>
      <c r="O97" s="12">
        <v>45785</v>
      </c>
      <c r="P97" s="11" t="s">
        <v>47</v>
      </c>
      <c r="Q97" s="11" t="s">
        <v>46</v>
      </c>
      <c r="R97" s="11">
        <v>0</v>
      </c>
      <c r="S97" s="11">
        <v>36</v>
      </c>
      <c r="T97" s="11" t="s">
        <v>123</v>
      </c>
      <c r="U97" s="11" t="s">
        <v>99</v>
      </c>
      <c r="V97" s="11" t="s">
        <v>75</v>
      </c>
      <c r="W97" s="11" t="s">
        <v>66</v>
      </c>
      <c r="X97" s="13">
        <v>45755</v>
      </c>
    </row>
    <row r="98" spans="1:24" x14ac:dyDescent="0.3">
      <c r="A98" s="8">
        <v>97</v>
      </c>
      <c r="B98" s="8">
        <v>1041</v>
      </c>
      <c r="C98" s="8">
        <v>15</v>
      </c>
      <c r="D98" s="8">
        <v>1</v>
      </c>
      <c r="E98" s="8">
        <v>349</v>
      </c>
      <c r="F98" s="8">
        <v>0.2</v>
      </c>
      <c r="G98" s="8">
        <v>279</v>
      </c>
      <c r="H98" s="8">
        <v>15</v>
      </c>
      <c r="I98" s="8" t="s">
        <v>24</v>
      </c>
      <c r="J98" s="8" t="s">
        <v>11</v>
      </c>
      <c r="K98" s="8">
        <v>349</v>
      </c>
      <c r="L98" s="8">
        <v>120</v>
      </c>
      <c r="M98" s="8">
        <v>1041</v>
      </c>
      <c r="N98" s="8">
        <v>36</v>
      </c>
      <c r="O98" s="9">
        <v>45785</v>
      </c>
      <c r="P98" s="8" t="s">
        <v>47</v>
      </c>
      <c r="Q98" s="8" t="s">
        <v>46</v>
      </c>
      <c r="R98" s="8">
        <v>0</v>
      </c>
      <c r="S98" s="8">
        <v>36</v>
      </c>
      <c r="T98" s="8" t="s">
        <v>123</v>
      </c>
      <c r="U98" s="8" t="s">
        <v>99</v>
      </c>
      <c r="V98" s="8" t="s">
        <v>75</v>
      </c>
      <c r="W98" s="8" t="s">
        <v>66</v>
      </c>
      <c r="X98" s="10">
        <v>45755</v>
      </c>
    </row>
    <row r="99" spans="1:24" x14ac:dyDescent="0.3">
      <c r="A99" s="11">
        <v>98</v>
      </c>
      <c r="B99" s="11">
        <v>1041</v>
      </c>
      <c r="C99" s="11">
        <v>17</v>
      </c>
      <c r="D99" s="11">
        <v>2</v>
      </c>
      <c r="E99" s="11">
        <v>8499</v>
      </c>
      <c r="F99" s="11">
        <v>0.1</v>
      </c>
      <c r="G99" s="11">
        <v>15298</v>
      </c>
      <c r="H99" s="11">
        <v>17</v>
      </c>
      <c r="I99" s="11" t="s">
        <v>26</v>
      </c>
      <c r="J99" s="11" t="s">
        <v>14</v>
      </c>
      <c r="K99" s="11">
        <v>8499</v>
      </c>
      <c r="L99" s="11">
        <v>6100</v>
      </c>
      <c r="M99" s="11">
        <v>1041</v>
      </c>
      <c r="N99" s="11">
        <v>36</v>
      </c>
      <c r="O99" s="12">
        <v>45785</v>
      </c>
      <c r="P99" s="11" t="s">
        <v>47</v>
      </c>
      <c r="Q99" s="11" t="s">
        <v>46</v>
      </c>
      <c r="R99" s="11">
        <v>0</v>
      </c>
      <c r="S99" s="11">
        <v>36</v>
      </c>
      <c r="T99" s="11" t="s">
        <v>123</v>
      </c>
      <c r="U99" s="11" t="s">
        <v>99</v>
      </c>
      <c r="V99" s="11" t="s">
        <v>75</v>
      </c>
      <c r="W99" s="11" t="s">
        <v>66</v>
      </c>
      <c r="X99" s="13">
        <v>45755</v>
      </c>
    </row>
    <row r="100" spans="1:24" x14ac:dyDescent="0.3">
      <c r="A100" s="8">
        <v>99</v>
      </c>
      <c r="B100" s="8">
        <v>1041</v>
      </c>
      <c r="C100" s="8">
        <v>11</v>
      </c>
      <c r="D100" s="8">
        <v>2</v>
      </c>
      <c r="E100" s="8">
        <v>1099</v>
      </c>
      <c r="F100" s="8">
        <v>0.15</v>
      </c>
      <c r="G100" s="8">
        <v>1868</v>
      </c>
      <c r="H100" s="8">
        <v>11</v>
      </c>
      <c r="I100" s="8" t="s">
        <v>20</v>
      </c>
      <c r="J100" s="8" t="s">
        <v>19</v>
      </c>
      <c r="K100" s="8">
        <v>1099</v>
      </c>
      <c r="L100" s="8">
        <v>570</v>
      </c>
      <c r="M100" s="8">
        <v>1041</v>
      </c>
      <c r="N100" s="8">
        <v>36</v>
      </c>
      <c r="O100" s="9">
        <v>45785</v>
      </c>
      <c r="P100" s="8" t="s">
        <v>47</v>
      </c>
      <c r="Q100" s="8" t="s">
        <v>46</v>
      </c>
      <c r="R100" s="8">
        <v>0</v>
      </c>
      <c r="S100" s="8">
        <v>36</v>
      </c>
      <c r="T100" s="8" t="s">
        <v>123</v>
      </c>
      <c r="U100" s="8" t="s">
        <v>99</v>
      </c>
      <c r="V100" s="8" t="s">
        <v>75</v>
      </c>
      <c r="W100" s="8" t="s">
        <v>66</v>
      </c>
      <c r="X100" s="10">
        <v>45755</v>
      </c>
    </row>
    <row r="101" spans="1:24" x14ac:dyDescent="0.3">
      <c r="A101" s="11">
        <v>100</v>
      </c>
      <c r="B101" s="11">
        <v>1042</v>
      </c>
      <c r="C101" s="11">
        <v>9</v>
      </c>
      <c r="D101" s="11">
        <v>1</v>
      </c>
      <c r="E101" s="11">
        <v>199</v>
      </c>
      <c r="F101" s="11">
        <v>0</v>
      </c>
      <c r="G101" s="11">
        <v>199</v>
      </c>
      <c r="H101" s="11">
        <v>9</v>
      </c>
      <c r="I101" s="11" t="s">
        <v>17</v>
      </c>
      <c r="J101" s="11" t="s">
        <v>16</v>
      </c>
      <c r="K101" s="11">
        <v>199</v>
      </c>
      <c r="L101" s="11">
        <v>65</v>
      </c>
      <c r="M101" s="11">
        <v>1042</v>
      </c>
      <c r="N101" s="11">
        <v>29</v>
      </c>
      <c r="O101" s="12">
        <v>45739</v>
      </c>
      <c r="P101" s="11" t="s">
        <v>44</v>
      </c>
      <c r="Q101" s="11" t="s">
        <v>49</v>
      </c>
      <c r="R101" s="11">
        <v>7</v>
      </c>
      <c r="S101" s="11">
        <v>29</v>
      </c>
      <c r="T101" s="11" t="s">
        <v>116</v>
      </c>
      <c r="U101" s="11" t="s">
        <v>83</v>
      </c>
      <c r="V101" s="11" t="s">
        <v>84</v>
      </c>
      <c r="W101" s="11" t="s">
        <v>62</v>
      </c>
      <c r="X101" s="13">
        <v>45645</v>
      </c>
    </row>
    <row r="102" spans="1:24" x14ac:dyDescent="0.3">
      <c r="A102" s="8">
        <v>101</v>
      </c>
      <c r="B102" s="8">
        <v>1042</v>
      </c>
      <c r="C102" s="8">
        <v>8</v>
      </c>
      <c r="D102" s="8">
        <v>1</v>
      </c>
      <c r="E102" s="8">
        <v>299</v>
      </c>
      <c r="F102" s="8">
        <v>0</v>
      </c>
      <c r="G102" s="8">
        <v>299</v>
      </c>
      <c r="H102" s="8">
        <v>8</v>
      </c>
      <c r="I102" s="8" t="s">
        <v>15</v>
      </c>
      <c r="J102" s="8" t="s">
        <v>16</v>
      </c>
      <c r="K102" s="8">
        <v>299</v>
      </c>
      <c r="L102" s="8">
        <v>110</v>
      </c>
      <c r="M102" s="8">
        <v>1042</v>
      </c>
      <c r="N102" s="8">
        <v>29</v>
      </c>
      <c r="O102" s="9">
        <v>45739</v>
      </c>
      <c r="P102" s="8" t="s">
        <v>44</v>
      </c>
      <c r="Q102" s="8" t="s">
        <v>49</v>
      </c>
      <c r="R102" s="8">
        <v>7</v>
      </c>
      <c r="S102" s="8">
        <v>29</v>
      </c>
      <c r="T102" s="8" t="s">
        <v>116</v>
      </c>
      <c r="U102" s="8" t="s">
        <v>83</v>
      </c>
      <c r="V102" s="8" t="s">
        <v>84</v>
      </c>
      <c r="W102" s="8" t="s">
        <v>62</v>
      </c>
      <c r="X102" s="10">
        <v>45645</v>
      </c>
    </row>
    <row r="103" spans="1:24" x14ac:dyDescent="0.3">
      <c r="A103" s="11">
        <v>102</v>
      </c>
      <c r="B103" s="11">
        <v>1042</v>
      </c>
      <c r="C103" s="11">
        <v>20</v>
      </c>
      <c r="D103" s="11">
        <v>2</v>
      </c>
      <c r="E103" s="11">
        <v>449</v>
      </c>
      <c r="F103" s="11">
        <v>0</v>
      </c>
      <c r="G103" s="11">
        <v>898</v>
      </c>
      <c r="H103" s="11">
        <v>20</v>
      </c>
      <c r="I103" s="11" t="s">
        <v>29</v>
      </c>
      <c r="J103" s="11" t="s">
        <v>16</v>
      </c>
      <c r="K103" s="11">
        <v>449</v>
      </c>
      <c r="L103" s="11">
        <v>180</v>
      </c>
      <c r="M103" s="11">
        <v>1042</v>
      </c>
      <c r="N103" s="11">
        <v>29</v>
      </c>
      <c r="O103" s="12">
        <v>45739</v>
      </c>
      <c r="P103" s="11" t="s">
        <v>44</v>
      </c>
      <c r="Q103" s="11" t="s">
        <v>49</v>
      </c>
      <c r="R103" s="11">
        <v>7</v>
      </c>
      <c r="S103" s="11">
        <v>29</v>
      </c>
      <c r="T103" s="11" t="s">
        <v>116</v>
      </c>
      <c r="U103" s="11" t="s">
        <v>83</v>
      </c>
      <c r="V103" s="11" t="s">
        <v>84</v>
      </c>
      <c r="W103" s="11" t="s">
        <v>62</v>
      </c>
      <c r="X103" s="13">
        <v>45645</v>
      </c>
    </row>
    <row r="104" spans="1:24" x14ac:dyDescent="0.3">
      <c r="A104" s="8">
        <v>103</v>
      </c>
      <c r="B104" s="8">
        <v>1042</v>
      </c>
      <c r="C104" s="8">
        <v>17</v>
      </c>
      <c r="D104" s="8">
        <v>1</v>
      </c>
      <c r="E104" s="8">
        <v>8499</v>
      </c>
      <c r="F104" s="8">
        <v>0.05</v>
      </c>
      <c r="G104" s="8">
        <v>8074</v>
      </c>
      <c r="H104" s="8">
        <v>17</v>
      </c>
      <c r="I104" s="8" t="s">
        <v>26</v>
      </c>
      <c r="J104" s="8" t="s">
        <v>14</v>
      </c>
      <c r="K104" s="8">
        <v>8499</v>
      </c>
      <c r="L104" s="8">
        <v>6100</v>
      </c>
      <c r="M104" s="8">
        <v>1042</v>
      </c>
      <c r="N104" s="8">
        <v>29</v>
      </c>
      <c r="O104" s="9">
        <v>45739</v>
      </c>
      <c r="P104" s="8" t="s">
        <v>44</v>
      </c>
      <c r="Q104" s="8" t="s">
        <v>49</v>
      </c>
      <c r="R104" s="8">
        <v>7</v>
      </c>
      <c r="S104" s="8">
        <v>29</v>
      </c>
      <c r="T104" s="8" t="s">
        <v>116</v>
      </c>
      <c r="U104" s="8" t="s">
        <v>83</v>
      </c>
      <c r="V104" s="8" t="s">
        <v>84</v>
      </c>
      <c r="W104" s="8" t="s">
        <v>62</v>
      </c>
      <c r="X104" s="10">
        <v>45645</v>
      </c>
    </row>
    <row r="105" spans="1:24" x14ac:dyDescent="0.3">
      <c r="A105" s="11">
        <v>104</v>
      </c>
      <c r="B105" s="11">
        <v>1043</v>
      </c>
      <c r="C105" s="11">
        <v>5</v>
      </c>
      <c r="D105" s="11">
        <v>1</v>
      </c>
      <c r="E105" s="11">
        <v>1299</v>
      </c>
      <c r="F105" s="11">
        <v>0.15</v>
      </c>
      <c r="G105" s="11">
        <v>1104</v>
      </c>
      <c r="H105" s="11">
        <v>5</v>
      </c>
      <c r="I105" s="11" t="s">
        <v>10</v>
      </c>
      <c r="J105" s="11" t="s">
        <v>11</v>
      </c>
      <c r="K105" s="11">
        <v>1299</v>
      </c>
      <c r="L105" s="11">
        <v>650</v>
      </c>
      <c r="M105" s="11">
        <v>1043</v>
      </c>
      <c r="N105" s="11">
        <v>35</v>
      </c>
      <c r="O105" s="12">
        <v>45699</v>
      </c>
      <c r="P105" s="11" t="s">
        <v>41</v>
      </c>
      <c r="Q105" s="11" t="s">
        <v>42</v>
      </c>
      <c r="R105" s="11">
        <v>2</v>
      </c>
      <c r="S105" s="11">
        <v>35</v>
      </c>
      <c r="T105" s="11" t="s">
        <v>122</v>
      </c>
      <c r="U105" s="11" t="s">
        <v>97</v>
      </c>
      <c r="V105" s="11" t="s">
        <v>72</v>
      </c>
      <c r="W105" s="11" t="s">
        <v>62</v>
      </c>
      <c r="X105" s="13">
        <v>45211</v>
      </c>
    </row>
    <row r="106" spans="1:24" x14ac:dyDescent="0.3">
      <c r="A106" s="8">
        <v>105</v>
      </c>
      <c r="B106" s="8">
        <v>1043</v>
      </c>
      <c r="C106" s="8">
        <v>7</v>
      </c>
      <c r="D106" s="8">
        <v>1</v>
      </c>
      <c r="E106" s="8">
        <v>999</v>
      </c>
      <c r="F106" s="8">
        <v>0</v>
      </c>
      <c r="G106" s="8">
        <v>999</v>
      </c>
      <c r="H106" s="8">
        <v>7</v>
      </c>
      <c r="I106" s="8" t="s">
        <v>13</v>
      </c>
      <c r="J106" s="8" t="s">
        <v>14</v>
      </c>
      <c r="K106" s="8">
        <v>999</v>
      </c>
      <c r="L106" s="8">
        <v>480</v>
      </c>
      <c r="M106" s="8">
        <v>1043</v>
      </c>
      <c r="N106" s="8">
        <v>35</v>
      </c>
      <c r="O106" s="9">
        <v>45699</v>
      </c>
      <c r="P106" s="8" t="s">
        <v>41</v>
      </c>
      <c r="Q106" s="8" t="s">
        <v>42</v>
      </c>
      <c r="R106" s="8">
        <v>2</v>
      </c>
      <c r="S106" s="8">
        <v>35</v>
      </c>
      <c r="T106" s="8" t="s">
        <v>122</v>
      </c>
      <c r="U106" s="8" t="s">
        <v>97</v>
      </c>
      <c r="V106" s="8" t="s">
        <v>72</v>
      </c>
      <c r="W106" s="8" t="s">
        <v>62</v>
      </c>
      <c r="X106" s="10">
        <v>45211</v>
      </c>
    </row>
    <row r="107" spans="1:24" x14ac:dyDescent="0.3">
      <c r="A107" s="11">
        <v>106</v>
      </c>
      <c r="B107" s="11">
        <v>1043</v>
      </c>
      <c r="C107" s="11">
        <v>3</v>
      </c>
      <c r="D107" s="11">
        <v>1</v>
      </c>
      <c r="E107" s="11">
        <v>1799</v>
      </c>
      <c r="F107" s="11">
        <v>0.1</v>
      </c>
      <c r="G107" s="11">
        <v>1619</v>
      </c>
      <c r="H107" s="11">
        <v>3</v>
      </c>
      <c r="I107" s="11" t="s">
        <v>8</v>
      </c>
      <c r="J107" s="11" t="s">
        <v>6</v>
      </c>
      <c r="K107" s="11">
        <v>1799</v>
      </c>
      <c r="L107" s="11">
        <v>980</v>
      </c>
      <c r="M107" s="11">
        <v>1043</v>
      </c>
      <c r="N107" s="11">
        <v>35</v>
      </c>
      <c r="O107" s="12">
        <v>45699</v>
      </c>
      <c r="P107" s="11" t="s">
        <v>41</v>
      </c>
      <c r="Q107" s="11" t="s">
        <v>42</v>
      </c>
      <c r="R107" s="11">
        <v>2</v>
      </c>
      <c r="S107" s="11">
        <v>35</v>
      </c>
      <c r="T107" s="11" t="s">
        <v>122</v>
      </c>
      <c r="U107" s="11" t="s">
        <v>97</v>
      </c>
      <c r="V107" s="11" t="s">
        <v>72</v>
      </c>
      <c r="W107" s="11" t="s">
        <v>62</v>
      </c>
      <c r="X107" s="13">
        <v>45211</v>
      </c>
    </row>
    <row r="108" spans="1:24" x14ac:dyDescent="0.3">
      <c r="A108" s="8">
        <v>107</v>
      </c>
      <c r="B108" s="8">
        <v>1043</v>
      </c>
      <c r="C108" s="8">
        <v>14</v>
      </c>
      <c r="D108" s="8">
        <v>1</v>
      </c>
      <c r="E108" s="8">
        <v>2499</v>
      </c>
      <c r="F108" s="8">
        <v>0.15</v>
      </c>
      <c r="G108" s="8">
        <v>2124</v>
      </c>
      <c r="H108" s="8">
        <v>14</v>
      </c>
      <c r="I108" s="8" t="s">
        <v>23</v>
      </c>
      <c r="J108" s="8" t="s">
        <v>6</v>
      </c>
      <c r="K108" s="8">
        <v>2499</v>
      </c>
      <c r="L108" s="8">
        <v>1500</v>
      </c>
      <c r="M108" s="8">
        <v>1043</v>
      </c>
      <c r="N108" s="8">
        <v>35</v>
      </c>
      <c r="O108" s="9">
        <v>45699</v>
      </c>
      <c r="P108" s="8" t="s">
        <v>41</v>
      </c>
      <c r="Q108" s="8" t="s">
        <v>42</v>
      </c>
      <c r="R108" s="8">
        <v>2</v>
      </c>
      <c r="S108" s="8">
        <v>35</v>
      </c>
      <c r="T108" s="8" t="s">
        <v>122</v>
      </c>
      <c r="U108" s="8" t="s">
        <v>97</v>
      </c>
      <c r="V108" s="8" t="s">
        <v>72</v>
      </c>
      <c r="W108" s="8" t="s">
        <v>62</v>
      </c>
      <c r="X108" s="10">
        <v>45211</v>
      </c>
    </row>
    <row r="109" spans="1:24" x14ac:dyDescent="0.3">
      <c r="A109" s="11">
        <v>108</v>
      </c>
      <c r="B109" s="11">
        <v>1044</v>
      </c>
      <c r="C109" s="11">
        <v>10</v>
      </c>
      <c r="D109" s="11">
        <v>1</v>
      </c>
      <c r="E109" s="11">
        <v>599</v>
      </c>
      <c r="F109" s="11">
        <v>0.2</v>
      </c>
      <c r="G109" s="11">
        <v>479</v>
      </c>
      <c r="H109" s="11">
        <v>10</v>
      </c>
      <c r="I109" s="11" t="s">
        <v>18</v>
      </c>
      <c r="J109" s="11" t="s">
        <v>19</v>
      </c>
      <c r="K109" s="11">
        <v>599</v>
      </c>
      <c r="L109" s="11">
        <v>260</v>
      </c>
      <c r="M109" s="11">
        <v>1044</v>
      </c>
      <c r="N109" s="11">
        <v>2</v>
      </c>
      <c r="O109" s="12">
        <v>45952</v>
      </c>
      <c r="P109" s="11" t="s">
        <v>41</v>
      </c>
      <c r="Q109" s="11" t="s">
        <v>46</v>
      </c>
      <c r="R109" s="11">
        <v>4</v>
      </c>
      <c r="S109" s="11">
        <v>2</v>
      </c>
      <c r="T109" s="11" t="s">
        <v>59</v>
      </c>
      <c r="U109" s="11" t="s">
        <v>60</v>
      </c>
      <c r="V109" s="11" t="s">
        <v>61</v>
      </c>
      <c r="W109" s="11" t="s">
        <v>62</v>
      </c>
      <c r="X109" s="13">
        <v>45041</v>
      </c>
    </row>
    <row r="110" spans="1:24" x14ac:dyDescent="0.3">
      <c r="A110" s="8">
        <v>109</v>
      </c>
      <c r="B110" s="8">
        <v>1044</v>
      </c>
      <c r="C110" s="8">
        <v>13</v>
      </c>
      <c r="D110" s="8">
        <v>1</v>
      </c>
      <c r="E110" s="8">
        <v>10999</v>
      </c>
      <c r="F110" s="8">
        <v>0.15</v>
      </c>
      <c r="G110" s="8">
        <v>9349</v>
      </c>
      <c r="H110" s="8">
        <v>13</v>
      </c>
      <c r="I110" s="8" t="s">
        <v>22</v>
      </c>
      <c r="J110" s="8" t="s">
        <v>6</v>
      </c>
      <c r="K110" s="8">
        <v>10999</v>
      </c>
      <c r="L110" s="8">
        <v>7900</v>
      </c>
      <c r="M110" s="8">
        <v>1044</v>
      </c>
      <c r="N110" s="8">
        <v>2</v>
      </c>
      <c r="O110" s="9">
        <v>45952</v>
      </c>
      <c r="P110" s="8" t="s">
        <v>41</v>
      </c>
      <c r="Q110" s="8" t="s">
        <v>46</v>
      </c>
      <c r="R110" s="8">
        <v>4</v>
      </c>
      <c r="S110" s="8">
        <v>2</v>
      </c>
      <c r="T110" s="8" t="s">
        <v>59</v>
      </c>
      <c r="U110" s="8" t="s">
        <v>60</v>
      </c>
      <c r="V110" s="8" t="s">
        <v>61</v>
      </c>
      <c r="W110" s="8" t="s">
        <v>62</v>
      </c>
      <c r="X110" s="10">
        <v>45041</v>
      </c>
    </row>
    <row r="111" spans="1:24" x14ac:dyDescent="0.3">
      <c r="A111" s="11">
        <v>110</v>
      </c>
      <c r="B111" s="11">
        <v>1044</v>
      </c>
      <c r="C111" s="11">
        <v>14</v>
      </c>
      <c r="D111" s="11">
        <v>2</v>
      </c>
      <c r="E111" s="11">
        <v>2499</v>
      </c>
      <c r="F111" s="11">
        <v>0.1</v>
      </c>
      <c r="G111" s="11">
        <v>4498</v>
      </c>
      <c r="H111" s="11">
        <v>14</v>
      </c>
      <c r="I111" s="11" t="s">
        <v>23</v>
      </c>
      <c r="J111" s="11" t="s">
        <v>6</v>
      </c>
      <c r="K111" s="11">
        <v>2499</v>
      </c>
      <c r="L111" s="11">
        <v>1500</v>
      </c>
      <c r="M111" s="11">
        <v>1044</v>
      </c>
      <c r="N111" s="11">
        <v>2</v>
      </c>
      <c r="O111" s="12">
        <v>45952</v>
      </c>
      <c r="P111" s="11" t="s">
        <v>41</v>
      </c>
      <c r="Q111" s="11" t="s">
        <v>46</v>
      </c>
      <c r="R111" s="11">
        <v>4</v>
      </c>
      <c r="S111" s="11">
        <v>2</v>
      </c>
      <c r="T111" s="11" t="s">
        <v>59</v>
      </c>
      <c r="U111" s="11" t="s">
        <v>60</v>
      </c>
      <c r="V111" s="11" t="s">
        <v>61</v>
      </c>
      <c r="W111" s="11" t="s">
        <v>62</v>
      </c>
      <c r="X111" s="13">
        <v>45041</v>
      </c>
    </row>
    <row r="112" spans="1:24" x14ac:dyDescent="0.3">
      <c r="A112" s="8">
        <v>111</v>
      </c>
      <c r="B112" s="8">
        <v>1045</v>
      </c>
      <c r="C112" s="8">
        <v>11</v>
      </c>
      <c r="D112" s="8">
        <v>2</v>
      </c>
      <c r="E112" s="8">
        <v>1099</v>
      </c>
      <c r="F112" s="8">
        <v>0.15</v>
      </c>
      <c r="G112" s="8">
        <v>1868</v>
      </c>
      <c r="H112" s="8">
        <v>11</v>
      </c>
      <c r="I112" s="8" t="s">
        <v>20</v>
      </c>
      <c r="J112" s="8" t="s">
        <v>19</v>
      </c>
      <c r="K112" s="8">
        <v>1099</v>
      </c>
      <c r="L112" s="8">
        <v>570</v>
      </c>
      <c r="M112" s="8">
        <v>1045</v>
      </c>
      <c r="N112" s="8">
        <v>15</v>
      </c>
      <c r="O112" s="9">
        <v>45797</v>
      </c>
      <c r="P112" s="8" t="s">
        <v>41</v>
      </c>
      <c r="Q112" s="8" t="s">
        <v>46</v>
      </c>
      <c r="R112" s="8">
        <v>4</v>
      </c>
      <c r="S112" s="8">
        <v>15</v>
      </c>
      <c r="T112" s="8" t="s">
        <v>96</v>
      </c>
      <c r="U112" s="8" t="s">
        <v>97</v>
      </c>
      <c r="V112" s="8" t="s">
        <v>72</v>
      </c>
      <c r="W112" s="8" t="s">
        <v>66</v>
      </c>
      <c r="X112" s="10">
        <v>45531</v>
      </c>
    </row>
    <row r="113" spans="1:24" x14ac:dyDescent="0.3">
      <c r="A113" s="11">
        <v>112</v>
      </c>
      <c r="B113" s="11">
        <v>1045</v>
      </c>
      <c r="C113" s="11">
        <v>13</v>
      </c>
      <c r="D113" s="11">
        <v>1</v>
      </c>
      <c r="E113" s="11">
        <v>10999</v>
      </c>
      <c r="F113" s="11">
        <v>0.1</v>
      </c>
      <c r="G113" s="11">
        <v>9899</v>
      </c>
      <c r="H113" s="11">
        <v>13</v>
      </c>
      <c r="I113" s="11" t="s">
        <v>22</v>
      </c>
      <c r="J113" s="11" t="s">
        <v>6</v>
      </c>
      <c r="K113" s="11">
        <v>10999</v>
      </c>
      <c r="L113" s="11">
        <v>7900</v>
      </c>
      <c r="M113" s="11">
        <v>1045</v>
      </c>
      <c r="N113" s="11">
        <v>15</v>
      </c>
      <c r="O113" s="12">
        <v>45797</v>
      </c>
      <c r="P113" s="11" t="s">
        <v>41</v>
      </c>
      <c r="Q113" s="11" t="s">
        <v>46</v>
      </c>
      <c r="R113" s="11">
        <v>4</v>
      </c>
      <c r="S113" s="11">
        <v>15</v>
      </c>
      <c r="T113" s="11" t="s">
        <v>96</v>
      </c>
      <c r="U113" s="11" t="s">
        <v>97</v>
      </c>
      <c r="V113" s="11" t="s">
        <v>72</v>
      </c>
      <c r="W113" s="11" t="s">
        <v>66</v>
      </c>
      <c r="X113" s="13">
        <v>45531</v>
      </c>
    </row>
    <row r="114" spans="1:24" x14ac:dyDescent="0.3">
      <c r="A114" s="8">
        <v>113</v>
      </c>
      <c r="B114" s="8">
        <v>1045</v>
      </c>
      <c r="C114" s="8">
        <v>6</v>
      </c>
      <c r="D114" s="8">
        <v>1</v>
      </c>
      <c r="E114" s="8">
        <v>1899</v>
      </c>
      <c r="F114" s="8">
        <v>0.2</v>
      </c>
      <c r="G114" s="8">
        <v>1519</v>
      </c>
      <c r="H114" s="8">
        <v>6</v>
      </c>
      <c r="I114" s="8" t="s">
        <v>12</v>
      </c>
      <c r="J114" s="8" t="s">
        <v>11</v>
      </c>
      <c r="K114" s="8">
        <v>1899</v>
      </c>
      <c r="L114" s="8">
        <v>950</v>
      </c>
      <c r="M114" s="8">
        <v>1045</v>
      </c>
      <c r="N114" s="8">
        <v>15</v>
      </c>
      <c r="O114" s="9">
        <v>45797</v>
      </c>
      <c r="P114" s="8" t="s">
        <v>41</v>
      </c>
      <c r="Q114" s="8" t="s">
        <v>46</v>
      </c>
      <c r="R114" s="8">
        <v>4</v>
      </c>
      <c r="S114" s="8">
        <v>15</v>
      </c>
      <c r="T114" s="8" t="s">
        <v>96</v>
      </c>
      <c r="U114" s="8" t="s">
        <v>97</v>
      </c>
      <c r="V114" s="8" t="s">
        <v>72</v>
      </c>
      <c r="W114" s="8" t="s">
        <v>66</v>
      </c>
      <c r="X114" s="10">
        <v>45531</v>
      </c>
    </row>
    <row r="115" spans="1:24" x14ac:dyDescent="0.3">
      <c r="A115" s="11">
        <v>114</v>
      </c>
      <c r="B115" s="11">
        <v>1045</v>
      </c>
      <c r="C115" s="11">
        <v>15</v>
      </c>
      <c r="D115" s="11">
        <v>1</v>
      </c>
      <c r="E115" s="11">
        <v>349</v>
      </c>
      <c r="F115" s="11">
        <v>0.2</v>
      </c>
      <c r="G115" s="11">
        <v>279</v>
      </c>
      <c r="H115" s="11">
        <v>15</v>
      </c>
      <c r="I115" s="11" t="s">
        <v>24</v>
      </c>
      <c r="J115" s="11" t="s">
        <v>11</v>
      </c>
      <c r="K115" s="11">
        <v>349</v>
      </c>
      <c r="L115" s="11">
        <v>120</v>
      </c>
      <c r="M115" s="11">
        <v>1045</v>
      </c>
      <c r="N115" s="11">
        <v>15</v>
      </c>
      <c r="O115" s="12">
        <v>45797</v>
      </c>
      <c r="P115" s="11" t="s">
        <v>41</v>
      </c>
      <c r="Q115" s="11" t="s">
        <v>46</v>
      </c>
      <c r="R115" s="11">
        <v>4</v>
      </c>
      <c r="S115" s="11">
        <v>15</v>
      </c>
      <c r="T115" s="11" t="s">
        <v>96</v>
      </c>
      <c r="U115" s="11" t="s">
        <v>97</v>
      </c>
      <c r="V115" s="11" t="s">
        <v>72</v>
      </c>
      <c r="W115" s="11" t="s">
        <v>66</v>
      </c>
      <c r="X115" s="13">
        <v>45531</v>
      </c>
    </row>
    <row r="116" spans="1:24" x14ac:dyDescent="0.3">
      <c r="A116" s="8">
        <v>115</v>
      </c>
      <c r="B116" s="8">
        <v>1046</v>
      </c>
      <c r="C116" s="8">
        <v>2</v>
      </c>
      <c r="D116" s="8">
        <v>1</v>
      </c>
      <c r="E116" s="8">
        <v>2499</v>
      </c>
      <c r="F116" s="8">
        <v>0</v>
      </c>
      <c r="G116" s="8">
        <v>2499</v>
      </c>
      <c r="H116" s="8">
        <v>2</v>
      </c>
      <c r="I116" s="8" t="s">
        <v>7</v>
      </c>
      <c r="J116" s="8" t="s">
        <v>6</v>
      </c>
      <c r="K116" s="8">
        <v>2499</v>
      </c>
      <c r="L116" s="8">
        <v>1500</v>
      </c>
      <c r="M116" s="8">
        <v>1046</v>
      </c>
      <c r="N116" s="8">
        <v>28</v>
      </c>
      <c r="O116" s="9">
        <v>45727</v>
      </c>
      <c r="P116" s="8" t="s">
        <v>47</v>
      </c>
      <c r="Q116" s="8" t="s">
        <v>49</v>
      </c>
      <c r="R116" s="8">
        <v>0</v>
      </c>
      <c r="S116" s="8">
        <v>28</v>
      </c>
      <c r="T116" s="8" t="s">
        <v>115</v>
      </c>
      <c r="U116" s="8" t="s">
        <v>80</v>
      </c>
      <c r="V116" s="8" t="s">
        <v>81</v>
      </c>
      <c r="W116" s="8" t="s">
        <v>58</v>
      </c>
      <c r="X116" s="10">
        <v>45592</v>
      </c>
    </row>
    <row r="117" spans="1:24" x14ac:dyDescent="0.3">
      <c r="A117" s="11">
        <v>116</v>
      </c>
      <c r="B117" s="11">
        <v>1046</v>
      </c>
      <c r="C117" s="11">
        <v>9</v>
      </c>
      <c r="D117" s="11">
        <v>1</v>
      </c>
      <c r="E117" s="11">
        <v>199</v>
      </c>
      <c r="F117" s="11">
        <v>0.05</v>
      </c>
      <c r="G117" s="11">
        <v>189</v>
      </c>
      <c r="H117" s="11">
        <v>9</v>
      </c>
      <c r="I117" s="11" t="s">
        <v>17</v>
      </c>
      <c r="J117" s="11" t="s">
        <v>16</v>
      </c>
      <c r="K117" s="11">
        <v>199</v>
      </c>
      <c r="L117" s="11">
        <v>65</v>
      </c>
      <c r="M117" s="11">
        <v>1046</v>
      </c>
      <c r="N117" s="11">
        <v>28</v>
      </c>
      <c r="O117" s="12">
        <v>45727</v>
      </c>
      <c r="P117" s="11" t="s">
        <v>47</v>
      </c>
      <c r="Q117" s="11" t="s">
        <v>49</v>
      </c>
      <c r="R117" s="11">
        <v>0</v>
      </c>
      <c r="S117" s="11">
        <v>28</v>
      </c>
      <c r="T117" s="11" t="s">
        <v>115</v>
      </c>
      <c r="U117" s="11" t="s">
        <v>80</v>
      </c>
      <c r="V117" s="11" t="s">
        <v>81</v>
      </c>
      <c r="W117" s="11" t="s">
        <v>58</v>
      </c>
      <c r="X117" s="13">
        <v>45592</v>
      </c>
    </row>
    <row r="118" spans="1:24" x14ac:dyDescent="0.3">
      <c r="A118" s="8">
        <v>117</v>
      </c>
      <c r="B118" s="8">
        <v>1047</v>
      </c>
      <c r="C118" s="8">
        <v>3</v>
      </c>
      <c r="D118" s="8">
        <v>2</v>
      </c>
      <c r="E118" s="8">
        <v>1799</v>
      </c>
      <c r="F118" s="8">
        <v>0</v>
      </c>
      <c r="G118" s="8">
        <v>3598</v>
      </c>
      <c r="H118" s="8">
        <v>3</v>
      </c>
      <c r="I118" s="8" t="s">
        <v>8</v>
      </c>
      <c r="J118" s="8" t="s">
        <v>6</v>
      </c>
      <c r="K118" s="8">
        <v>1799</v>
      </c>
      <c r="L118" s="8">
        <v>980</v>
      </c>
      <c r="M118" s="8">
        <v>1047</v>
      </c>
      <c r="N118" s="8">
        <v>25</v>
      </c>
      <c r="O118" s="9">
        <v>45800</v>
      </c>
      <c r="P118" s="8" t="s">
        <v>47</v>
      </c>
      <c r="Q118" s="8" t="s">
        <v>49</v>
      </c>
      <c r="R118" s="8">
        <v>0</v>
      </c>
      <c r="S118" s="8">
        <v>25</v>
      </c>
      <c r="T118" s="8" t="s">
        <v>112</v>
      </c>
      <c r="U118" s="8" t="s">
        <v>71</v>
      </c>
      <c r="V118" s="8" t="s">
        <v>72</v>
      </c>
      <c r="W118" s="8" t="s">
        <v>58</v>
      </c>
      <c r="X118" s="10">
        <v>45501</v>
      </c>
    </row>
    <row r="119" spans="1:24" x14ac:dyDescent="0.3">
      <c r="A119" s="11">
        <v>118</v>
      </c>
      <c r="B119" s="11">
        <v>1047</v>
      </c>
      <c r="C119" s="11">
        <v>16</v>
      </c>
      <c r="D119" s="11">
        <v>3</v>
      </c>
      <c r="E119" s="11">
        <v>1599</v>
      </c>
      <c r="F119" s="11">
        <v>0.05</v>
      </c>
      <c r="G119" s="11">
        <v>4557</v>
      </c>
      <c r="H119" s="11">
        <v>16</v>
      </c>
      <c r="I119" s="11" t="s">
        <v>25</v>
      </c>
      <c r="J119" s="11" t="s">
        <v>6</v>
      </c>
      <c r="K119" s="11">
        <v>1599</v>
      </c>
      <c r="L119" s="11">
        <v>900</v>
      </c>
      <c r="M119" s="11">
        <v>1047</v>
      </c>
      <c r="N119" s="11">
        <v>25</v>
      </c>
      <c r="O119" s="12">
        <v>45800</v>
      </c>
      <c r="P119" s="11" t="s">
        <v>47</v>
      </c>
      <c r="Q119" s="11" t="s">
        <v>49</v>
      </c>
      <c r="R119" s="11">
        <v>0</v>
      </c>
      <c r="S119" s="11">
        <v>25</v>
      </c>
      <c r="T119" s="11" t="s">
        <v>112</v>
      </c>
      <c r="U119" s="11" t="s">
        <v>71</v>
      </c>
      <c r="V119" s="11" t="s">
        <v>72</v>
      </c>
      <c r="W119" s="11" t="s">
        <v>58</v>
      </c>
      <c r="X119" s="13">
        <v>45501</v>
      </c>
    </row>
    <row r="120" spans="1:24" x14ac:dyDescent="0.3">
      <c r="A120" s="8">
        <v>119</v>
      </c>
      <c r="B120" s="8">
        <v>1047</v>
      </c>
      <c r="C120" s="8">
        <v>1</v>
      </c>
      <c r="D120" s="8">
        <v>1</v>
      </c>
      <c r="E120" s="8">
        <v>799</v>
      </c>
      <c r="F120" s="8">
        <v>0</v>
      </c>
      <c r="G120" s="8">
        <v>799</v>
      </c>
      <c r="H120" s="8">
        <v>1</v>
      </c>
      <c r="I120" s="8" t="s">
        <v>5</v>
      </c>
      <c r="J120" s="8" t="s">
        <v>6</v>
      </c>
      <c r="K120" s="8">
        <v>799</v>
      </c>
      <c r="L120" s="8">
        <v>420</v>
      </c>
      <c r="M120" s="8">
        <v>1047</v>
      </c>
      <c r="N120" s="8">
        <v>25</v>
      </c>
      <c r="O120" s="9">
        <v>45800</v>
      </c>
      <c r="P120" s="8" t="s">
        <v>47</v>
      </c>
      <c r="Q120" s="8" t="s">
        <v>49</v>
      </c>
      <c r="R120" s="8">
        <v>0</v>
      </c>
      <c r="S120" s="8">
        <v>25</v>
      </c>
      <c r="T120" s="8" t="s">
        <v>112</v>
      </c>
      <c r="U120" s="8" t="s">
        <v>71</v>
      </c>
      <c r="V120" s="8" t="s">
        <v>72</v>
      </c>
      <c r="W120" s="8" t="s">
        <v>58</v>
      </c>
      <c r="X120" s="10">
        <v>45501</v>
      </c>
    </row>
    <row r="121" spans="1:24" x14ac:dyDescent="0.3">
      <c r="A121" s="11">
        <v>120</v>
      </c>
      <c r="B121" s="11">
        <v>1048</v>
      </c>
      <c r="C121" s="11">
        <v>8</v>
      </c>
      <c r="D121" s="11">
        <v>1</v>
      </c>
      <c r="E121" s="11">
        <v>299</v>
      </c>
      <c r="F121" s="11">
        <v>0</v>
      </c>
      <c r="G121" s="11">
        <v>299</v>
      </c>
      <c r="H121" s="11">
        <v>8</v>
      </c>
      <c r="I121" s="11" t="s">
        <v>15</v>
      </c>
      <c r="J121" s="11" t="s">
        <v>16</v>
      </c>
      <c r="K121" s="11">
        <v>299</v>
      </c>
      <c r="L121" s="11">
        <v>110</v>
      </c>
      <c r="M121" s="11">
        <v>1048</v>
      </c>
      <c r="N121" s="11">
        <v>3</v>
      </c>
      <c r="O121" s="12">
        <v>45673</v>
      </c>
      <c r="P121" s="11" t="s">
        <v>41</v>
      </c>
      <c r="Q121" s="11" t="s">
        <v>46</v>
      </c>
      <c r="R121" s="11">
        <v>2</v>
      </c>
      <c r="S121" s="11">
        <v>3</v>
      </c>
      <c r="T121" s="11" t="s">
        <v>63</v>
      </c>
      <c r="U121" s="11" t="s">
        <v>64</v>
      </c>
      <c r="V121" s="11" t="s">
        <v>65</v>
      </c>
      <c r="W121" s="11" t="s">
        <v>66</v>
      </c>
      <c r="X121" s="13">
        <v>44952</v>
      </c>
    </row>
    <row r="122" spans="1:24" x14ac:dyDescent="0.3">
      <c r="A122" s="8">
        <v>121</v>
      </c>
      <c r="B122" s="8">
        <v>1048</v>
      </c>
      <c r="C122" s="8">
        <v>5</v>
      </c>
      <c r="D122" s="8">
        <v>1</v>
      </c>
      <c r="E122" s="8">
        <v>1299</v>
      </c>
      <c r="F122" s="8">
        <v>0</v>
      </c>
      <c r="G122" s="8">
        <v>1299</v>
      </c>
      <c r="H122" s="8">
        <v>5</v>
      </c>
      <c r="I122" s="8" t="s">
        <v>10</v>
      </c>
      <c r="J122" s="8" t="s">
        <v>11</v>
      </c>
      <c r="K122" s="8">
        <v>1299</v>
      </c>
      <c r="L122" s="8">
        <v>650</v>
      </c>
      <c r="M122" s="8">
        <v>1048</v>
      </c>
      <c r="N122" s="8">
        <v>3</v>
      </c>
      <c r="O122" s="9">
        <v>45673</v>
      </c>
      <c r="P122" s="8" t="s">
        <v>41</v>
      </c>
      <c r="Q122" s="8" t="s">
        <v>46</v>
      </c>
      <c r="R122" s="8">
        <v>2</v>
      </c>
      <c r="S122" s="8">
        <v>3</v>
      </c>
      <c r="T122" s="8" t="s">
        <v>63</v>
      </c>
      <c r="U122" s="8" t="s">
        <v>64</v>
      </c>
      <c r="V122" s="8" t="s">
        <v>65</v>
      </c>
      <c r="W122" s="8" t="s">
        <v>66</v>
      </c>
      <c r="X122" s="10">
        <v>44952</v>
      </c>
    </row>
    <row r="123" spans="1:24" x14ac:dyDescent="0.3">
      <c r="A123" s="11">
        <v>122</v>
      </c>
      <c r="B123" s="11">
        <v>1049</v>
      </c>
      <c r="C123" s="11">
        <v>20</v>
      </c>
      <c r="D123" s="11">
        <v>2</v>
      </c>
      <c r="E123" s="11">
        <v>449</v>
      </c>
      <c r="F123" s="11">
        <v>0</v>
      </c>
      <c r="G123" s="11">
        <v>898</v>
      </c>
      <c r="H123" s="11">
        <v>20</v>
      </c>
      <c r="I123" s="11" t="s">
        <v>29</v>
      </c>
      <c r="J123" s="11" t="s">
        <v>16</v>
      </c>
      <c r="K123" s="11">
        <v>449</v>
      </c>
      <c r="L123" s="11">
        <v>180</v>
      </c>
      <c r="M123" s="11">
        <v>1049</v>
      </c>
      <c r="N123" s="11">
        <v>30</v>
      </c>
      <c r="O123" s="12">
        <v>46016</v>
      </c>
      <c r="P123" s="11" t="s">
        <v>41</v>
      </c>
      <c r="Q123" s="11" t="s">
        <v>43</v>
      </c>
      <c r="R123" s="11">
        <v>7</v>
      </c>
      <c r="S123" s="11">
        <v>30</v>
      </c>
      <c r="T123" s="11" t="s">
        <v>117</v>
      </c>
      <c r="U123" s="11" t="s">
        <v>86</v>
      </c>
      <c r="V123" s="11" t="s">
        <v>87</v>
      </c>
      <c r="W123" s="11" t="s">
        <v>66</v>
      </c>
      <c r="X123" s="13">
        <v>45485</v>
      </c>
    </row>
    <row r="124" spans="1:24" x14ac:dyDescent="0.3">
      <c r="A124" s="8">
        <v>123</v>
      </c>
      <c r="B124" s="8">
        <v>1049</v>
      </c>
      <c r="C124" s="8">
        <v>4</v>
      </c>
      <c r="D124" s="8">
        <v>3</v>
      </c>
      <c r="E124" s="8">
        <v>2199</v>
      </c>
      <c r="F124" s="8">
        <v>0</v>
      </c>
      <c r="G124" s="8">
        <v>6597</v>
      </c>
      <c r="H124" s="8">
        <v>4</v>
      </c>
      <c r="I124" s="8" t="s">
        <v>9</v>
      </c>
      <c r="J124" s="8" t="s">
        <v>6</v>
      </c>
      <c r="K124" s="8">
        <v>2199</v>
      </c>
      <c r="L124" s="8">
        <v>1250</v>
      </c>
      <c r="M124" s="8">
        <v>1049</v>
      </c>
      <c r="N124" s="8">
        <v>30</v>
      </c>
      <c r="O124" s="9">
        <v>46016</v>
      </c>
      <c r="P124" s="8" t="s">
        <v>41</v>
      </c>
      <c r="Q124" s="8" t="s">
        <v>43</v>
      </c>
      <c r="R124" s="8">
        <v>7</v>
      </c>
      <c r="S124" s="8">
        <v>30</v>
      </c>
      <c r="T124" s="8" t="s">
        <v>117</v>
      </c>
      <c r="U124" s="8" t="s">
        <v>86</v>
      </c>
      <c r="V124" s="8" t="s">
        <v>87</v>
      </c>
      <c r="W124" s="8" t="s">
        <v>66</v>
      </c>
      <c r="X124" s="10">
        <v>45485</v>
      </c>
    </row>
    <row r="125" spans="1:24" x14ac:dyDescent="0.3">
      <c r="A125" s="11">
        <v>124</v>
      </c>
      <c r="B125" s="11">
        <v>1050</v>
      </c>
      <c r="C125" s="11">
        <v>7</v>
      </c>
      <c r="D125" s="11">
        <v>2</v>
      </c>
      <c r="E125" s="11">
        <v>999</v>
      </c>
      <c r="F125" s="11">
        <v>0.05</v>
      </c>
      <c r="G125" s="11">
        <v>1898</v>
      </c>
      <c r="H125" s="11">
        <v>7</v>
      </c>
      <c r="I125" s="11" t="s">
        <v>13</v>
      </c>
      <c r="J125" s="11" t="s">
        <v>14</v>
      </c>
      <c r="K125" s="11">
        <v>999</v>
      </c>
      <c r="L125" s="11">
        <v>480</v>
      </c>
      <c r="M125" s="11">
        <v>1050</v>
      </c>
      <c r="N125" s="11">
        <v>38</v>
      </c>
      <c r="O125" s="12">
        <v>45671</v>
      </c>
      <c r="P125" s="11" t="s">
        <v>41</v>
      </c>
      <c r="Q125" s="11" t="s">
        <v>49</v>
      </c>
      <c r="R125" s="11">
        <v>5</v>
      </c>
      <c r="S125" s="11">
        <v>38</v>
      </c>
      <c r="T125" s="11" t="s">
        <v>125</v>
      </c>
      <c r="U125" s="11" t="s">
        <v>103</v>
      </c>
      <c r="V125" s="11" t="s">
        <v>81</v>
      </c>
      <c r="W125" s="11" t="s">
        <v>62</v>
      </c>
      <c r="X125" s="13">
        <v>45704</v>
      </c>
    </row>
    <row r="126" spans="1:24" x14ac:dyDescent="0.3">
      <c r="A126" s="8">
        <v>125</v>
      </c>
      <c r="B126" s="8">
        <v>1050</v>
      </c>
      <c r="C126" s="8">
        <v>3</v>
      </c>
      <c r="D126" s="8">
        <v>2</v>
      </c>
      <c r="E126" s="8">
        <v>1799</v>
      </c>
      <c r="F126" s="8">
        <v>0.15</v>
      </c>
      <c r="G126" s="8">
        <v>3058</v>
      </c>
      <c r="H126" s="8">
        <v>3</v>
      </c>
      <c r="I126" s="8" t="s">
        <v>8</v>
      </c>
      <c r="J126" s="8" t="s">
        <v>6</v>
      </c>
      <c r="K126" s="8">
        <v>1799</v>
      </c>
      <c r="L126" s="8">
        <v>980</v>
      </c>
      <c r="M126" s="8">
        <v>1050</v>
      </c>
      <c r="N126" s="8">
        <v>38</v>
      </c>
      <c r="O126" s="9">
        <v>45671</v>
      </c>
      <c r="P126" s="8" t="s">
        <v>41</v>
      </c>
      <c r="Q126" s="8" t="s">
        <v>49</v>
      </c>
      <c r="R126" s="8">
        <v>5</v>
      </c>
      <c r="S126" s="8">
        <v>38</v>
      </c>
      <c r="T126" s="8" t="s">
        <v>125</v>
      </c>
      <c r="U126" s="8" t="s">
        <v>103</v>
      </c>
      <c r="V126" s="8" t="s">
        <v>81</v>
      </c>
      <c r="W126" s="8" t="s">
        <v>62</v>
      </c>
      <c r="X126" s="10">
        <v>45704</v>
      </c>
    </row>
    <row r="127" spans="1:24" x14ac:dyDescent="0.3">
      <c r="A127" s="11">
        <v>126</v>
      </c>
      <c r="B127" s="11">
        <v>1050</v>
      </c>
      <c r="C127" s="11">
        <v>8</v>
      </c>
      <c r="D127" s="11">
        <v>2</v>
      </c>
      <c r="E127" s="11">
        <v>299</v>
      </c>
      <c r="F127" s="11">
        <v>0.15</v>
      </c>
      <c r="G127" s="11">
        <v>508</v>
      </c>
      <c r="H127" s="11">
        <v>8</v>
      </c>
      <c r="I127" s="11" t="s">
        <v>15</v>
      </c>
      <c r="J127" s="11" t="s">
        <v>16</v>
      </c>
      <c r="K127" s="11">
        <v>299</v>
      </c>
      <c r="L127" s="11">
        <v>110</v>
      </c>
      <c r="M127" s="11">
        <v>1050</v>
      </c>
      <c r="N127" s="11">
        <v>38</v>
      </c>
      <c r="O127" s="12">
        <v>45671</v>
      </c>
      <c r="P127" s="11" t="s">
        <v>41</v>
      </c>
      <c r="Q127" s="11" t="s">
        <v>49</v>
      </c>
      <c r="R127" s="11">
        <v>5</v>
      </c>
      <c r="S127" s="11">
        <v>38</v>
      </c>
      <c r="T127" s="11" t="s">
        <v>125</v>
      </c>
      <c r="U127" s="11" t="s">
        <v>103</v>
      </c>
      <c r="V127" s="11" t="s">
        <v>81</v>
      </c>
      <c r="W127" s="11" t="s">
        <v>62</v>
      </c>
      <c r="X127" s="13">
        <v>45704</v>
      </c>
    </row>
    <row r="128" spans="1:24" x14ac:dyDescent="0.3">
      <c r="A128" s="8">
        <v>127</v>
      </c>
      <c r="B128" s="8">
        <v>1050</v>
      </c>
      <c r="C128" s="8">
        <v>4</v>
      </c>
      <c r="D128" s="8">
        <v>2</v>
      </c>
      <c r="E128" s="8">
        <v>2199</v>
      </c>
      <c r="F128" s="8">
        <v>0.05</v>
      </c>
      <c r="G128" s="8">
        <v>4178</v>
      </c>
      <c r="H128" s="8">
        <v>4</v>
      </c>
      <c r="I128" s="8" t="s">
        <v>9</v>
      </c>
      <c r="J128" s="8" t="s">
        <v>6</v>
      </c>
      <c r="K128" s="8">
        <v>2199</v>
      </c>
      <c r="L128" s="8">
        <v>1250</v>
      </c>
      <c r="M128" s="8">
        <v>1050</v>
      </c>
      <c r="N128" s="8">
        <v>38</v>
      </c>
      <c r="O128" s="9">
        <v>45671</v>
      </c>
      <c r="P128" s="8" t="s">
        <v>41</v>
      </c>
      <c r="Q128" s="8" t="s">
        <v>49</v>
      </c>
      <c r="R128" s="8">
        <v>5</v>
      </c>
      <c r="S128" s="8">
        <v>38</v>
      </c>
      <c r="T128" s="8" t="s">
        <v>125</v>
      </c>
      <c r="U128" s="8" t="s">
        <v>103</v>
      </c>
      <c r="V128" s="8" t="s">
        <v>81</v>
      </c>
      <c r="W128" s="8" t="s">
        <v>62</v>
      </c>
      <c r="X128" s="10">
        <v>45704</v>
      </c>
    </row>
    <row r="129" spans="1:24" x14ac:dyDescent="0.3">
      <c r="A129" s="11">
        <v>128</v>
      </c>
      <c r="B129" s="11">
        <v>1051</v>
      </c>
      <c r="C129" s="11">
        <v>1</v>
      </c>
      <c r="D129" s="11">
        <v>1</v>
      </c>
      <c r="E129" s="11">
        <v>799</v>
      </c>
      <c r="F129" s="11">
        <v>0.05</v>
      </c>
      <c r="G129" s="11">
        <v>759</v>
      </c>
      <c r="H129" s="11">
        <v>1</v>
      </c>
      <c r="I129" s="11" t="s">
        <v>5</v>
      </c>
      <c r="J129" s="11" t="s">
        <v>6</v>
      </c>
      <c r="K129" s="11">
        <v>799</v>
      </c>
      <c r="L129" s="11">
        <v>420</v>
      </c>
      <c r="M129" s="11">
        <v>1051</v>
      </c>
      <c r="N129" s="11">
        <v>35</v>
      </c>
      <c r="O129" s="12">
        <v>45877</v>
      </c>
      <c r="P129" s="11" t="s">
        <v>44</v>
      </c>
      <c r="Q129" s="11" t="s">
        <v>46</v>
      </c>
      <c r="R129" s="11">
        <v>3</v>
      </c>
      <c r="S129" s="11">
        <v>35</v>
      </c>
      <c r="T129" s="11" t="s">
        <v>122</v>
      </c>
      <c r="U129" s="11" t="s">
        <v>97</v>
      </c>
      <c r="V129" s="11" t="s">
        <v>72</v>
      </c>
      <c r="W129" s="11" t="s">
        <v>62</v>
      </c>
      <c r="X129" s="13">
        <v>45211</v>
      </c>
    </row>
    <row r="130" spans="1:24" x14ac:dyDescent="0.3">
      <c r="A130" s="8">
        <v>129</v>
      </c>
      <c r="B130" s="8">
        <v>1051</v>
      </c>
      <c r="C130" s="8">
        <v>14</v>
      </c>
      <c r="D130" s="8">
        <v>1</v>
      </c>
      <c r="E130" s="8">
        <v>2499</v>
      </c>
      <c r="F130" s="8">
        <v>0.1</v>
      </c>
      <c r="G130" s="8">
        <v>2249</v>
      </c>
      <c r="H130" s="8">
        <v>14</v>
      </c>
      <c r="I130" s="8" t="s">
        <v>23</v>
      </c>
      <c r="J130" s="8" t="s">
        <v>6</v>
      </c>
      <c r="K130" s="8">
        <v>2499</v>
      </c>
      <c r="L130" s="8">
        <v>1500</v>
      </c>
      <c r="M130" s="8">
        <v>1051</v>
      </c>
      <c r="N130" s="8">
        <v>35</v>
      </c>
      <c r="O130" s="9">
        <v>45877</v>
      </c>
      <c r="P130" s="8" t="s">
        <v>44</v>
      </c>
      <c r="Q130" s="8" t="s">
        <v>46</v>
      </c>
      <c r="R130" s="8">
        <v>3</v>
      </c>
      <c r="S130" s="8">
        <v>35</v>
      </c>
      <c r="T130" s="8" t="s">
        <v>122</v>
      </c>
      <c r="U130" s="8" t="s">
        <v>97</v>
      </c>
      <c r="V130" s="8" t="s">
        <v>72</v>
      </c>
      <c r="W130" s="8" t="s">
        <v>62</v>
      </c>
      <c r="X130" s="10">
        <v>45211</v>
      </c>
    </row>
    <row r="131" spans="1:24" x14ac:dyDescent="0.3">
      <c r="A131" s="11">
        <v>130</v>
      </c>
      <c r="B131" s="11">
        <v>1051</v>
      </c>
      <c r="C131" s="11">
        <v>16</v>
      </c>
      <c r="D131" s="11">
        <v>2</v>
      </c>
      <c r="E131" s="11">
        <v>1599</v>
      </c>
      <c r="F131" s="11">
        <v>0.1</v>
      </c>
      <c r="G131" s="11">
        <v>2878</v>
      </c>
      <c r="H131" s="11">
        <v>16</v>
      </c>
      <c r="I131" s="11" t="s">
        <v>25</v>
      </c>
      <c r="J131" s="11" t="s">
        <v>6</v>
      </c>
      <c r="K131" s="11">
        <v>1599</v>
      </c>
      <c r="L131" s="11">
        <v>900</v>
      </c>
      <c r="M131" s="11">
        <v>1051</v>
      </c>
      <c r="N131" s="11">
        <v>35</v>
      </c>
      <c r="O131" s="12">
        <v>45877</v>
      </c>
      <c r="P131" s="11" t="s">
        <v>44</v>
      </c>
      <c r="Q131" s="11" t="s">
        <v>46</v>
      </c>
      <c r="R131" s="11">
        <v>3</v>
      </c>
      <c r="S131" s="11">
        <v>35</v>
      </c>
      <c r="T131" s="11" t="s">
        <v>122</v>
      </c>
      <c r="U131" s="11" t="s">
        <v>97</v>
      </c>
      <c r="V131" s="11" t="s">
        <v>72</v>
      </c>
      <c r="W131" s="11" t="s">
        <v>62</v>
      </c>
      <c r="X131" s="13">
        <v>45211</v>
      </c>
    </row>
    <row r="132" spans="1:24" x14ac:dyDescent="0.3">
      <c r="A132" s="8">
        <v>131</v>
      </c>
      <c r="B132" s="8">
        <v>1052</v>
      </c>
      <c r="C132" s="8">
        <v>15</v>
      </c>
      <c r="D132" s="8">
        <v>2</v>
      </c>
      <c r="E132" s="8">
        <v>349</v>
      </c>
      <c r="F132" s="8">
        <v>0</v>
      </c>
      <c r="G132" s="8">
        <v>698</v>
      </c>
      <c r="H132" s="8">
        <v>15</v>
      </c>
      <c r="I132" s="8" t="s">
        <v>24</v>
      </c>
      <c r="J132" s="8" t="s">
        <v>11</v>
      </c>
      <c r="K132" s="8">
        <v>349</v>
      </c>
      <c r="L132" s="8">
        <v>120</v>
      </c>
      <c r="M132" s="8">
        <v>1052</v>
      </c>
      <c r="N132" s="8">
        <v>12</v>
      </c>
      <c r="O132" s="9">
        <v>45925</v>
      </c>
      <c r="P132" s="8" t="s">
        <v>44</v>
      </c>
      <c r="Q132" s="8" t="s">
        <v>45</v>
      </c>
      <c r="R132" s="8">
        <v>3</v>
      </c>
      <c r="S132" s="8">
        <v>12</v>
      </c>
      <c r="T132" s="8" t="s">
        <v>90</v>
      </c>
      <c r="U132" s="8" t="s">
        <v>91</v>
      </c>
      <c r="V132" s="8" t="s">
        <v>61</v>
      </c>
      <c r="W132" s="8" t="s">
        <v>66</v>
      </c>
      <c r="X132" s="10">
        <v>45685</v>
      </c>
    </row>
    <row r="133" spans="1:24" x14ac:dyDescent="0.3">
      <c r="A133" s="11">
        <v>132</v>
      </c>
      <c r="B133" s="11">
        <v>1052</v>
      </c>
      <c r="C133" s="11">
        <v>14</v>
      </c>
      <c r="D133" s="11">
        <v>1</v>
      </c>
      <c r="E133" s="11">
        <v>2499</v>
      </c>
      <c r="F133" s="11">
        <v>0.1</v>
      </c>
      <c r="G133" s="11">
        <v>2249</v>
      </c>
      <c r="H133" s="11">
        <v>14</v>
      </c>
      <c r="I133" s="11" t="s">
        <v>23</v>
      </c>
      <c r="J133" s="11" t="s">
        <v>6</v>
      </c>
      <c r="K133" s="11">
        <v>2499</v>
      </c>
      <c r="L133" s="11">
        <v>1500</v>
      </c>
      <c r="M133" s="11">
        <v>1052</v>
      </c>
      <c r="N133" s="11">
        <v>12</v>
      </c>
      <c r="O133" s="12">
        <v>45925</v>
      </c>
      <c r="P133" s="11" t="s">
        <v>44</v>
      </c>
      <c r="Q133" s="11" t="s">
        <v>45</v>
      </c>
      <c r="R133" s="11">
        <v>3</v>
      </c>
      <c r="S133" s="11">
        <v>12</v>
      </c>
      <c r="T133" s="11" t="s">
        <v>90</v>
      </c>
      <c r="U133" s="11" t="s">
        <v>91</v>
      </c>
      <c r="V133" s="11" t="s">
        <v>61</v>
      </c>
      <c r="W133" s="11" t="s">
        <v>66</v>
      </c>
      <c r="X133" s="13">
        <v>45685</v>
      </c>
    </row>
    <row r="134" spans="1:24" x14ac:dyDescent="0.3">
      <c r="A134" s="8">
        <v>133</v>
      </c>
      <c r="B134" s="8">
        <v>1052</v>
      </c>
      <c r="C134" s="8">
        <v>9</v>
      </c>
      <c r="D134" s="8">
        <v>1</v>
      </c>
      <c r="E134" s="8">
        <v>199</v>
      </c>
      <c r="F134" s="8">
        <v>0.1</v>
      </c>
      <c r="G134" s="8">
        <v>179</v>
      </c>
      <c r="H134" s="8">
        <v>9</v>
      </c>
      <c r="I134" s="8" t="s">
        <v>17</v>
      </c>
      <c r="J134" s="8" t="s">
        <v>16</v>
      </c>
      <c r="K134" s="8">
        <v>199</v>
      </c>
      <c r="L134" s="8">
        <v>65</v>
      </c>
      <c r="M134" s="8">
        <v>1052</v>
      </c>
      <c r="N134" s="8">
        <v>12</v>
      </c>
      <c r="O134" s="9">
        <v>45925</v>
      </c>
      <c r="P134" s="8" t="s">
        <v>44</v>
      </c>
      <c r="Q134" s="8" t="s">
        <v>45</v>
      </c>
      <c r="R134" s="8">
        <v>3</v>
      </c>
      <c r="S134" s="8">
        <v>12</v>
      </c>
      <c r="T134" s="8" t="s">
        <v>90</v>
      </c>
      <c r="U134" s="8" t="s">
        <v>91</v>
      </c>
      <c r="V134" s="8" t="s">
        <v>61</v>
      </c>
      <c r="W134" s="8" t="s">
        <v>66</v>
      </c>
      <c r="X134" s="10">
        <v>45685</v>
      </c>
    </row>
    <row r="135" spans="1:24" x14ac:dyDescent="0.3">
      <c r="A135" s="11">
        <v>134</v>
      </c>
      <c r="B135" s="11">
        <v>1052</v>
      </c>
      <c r="C135" s="11">
        <v>11</v>
      </c>
      <c r="D135" s="11">
        <v>1</v>
      </c>
      <c r="E135" s="11">
        <v>1099</v>
      </c>
      <c r="F135" s="11">
        <v>0.2</v>
      </c>
      <c r="G135" s="11">
        <v>879</v>
      </c>
      <c r="H135" s="11">
        <v>11</v>
      </c>
      <c r="I135" s="11" t="s">
        <v>20</v>
      </c>
      <c r="J135" s="11" t="s">
        <v>19</v>
      </c>
      <c r="K135" s="11">
        <v>1099</v>
      </c>
      <c r="L135" s="11">
        <v>570</v>
      </c>
      <c r="M135" s="11">
        <v>1052</v>
      </c>
      <c r="N135" s="11">
        <v>12</v>
      </c>
      <c r="O135" s="12">
        <v>45925</v>
      </c>
      <c r="P135" s="11" t="s">
        <v>44</v>
      </c>
      <c r="Q135" s="11" t="s">
        <v>45</v>
      </c>
      <c r="R135" s="11">
        <v>3</v>
      </c>
      <c r="S135" s="11">
        <v>12</v>
      </c>
      <c r="T135" s="11" t="s">
        <v>90</v>
      </c>
      <c r="U135" s="11" t="s">
        <v>91</v>
      </c>
      <c r="V135" s="11" t="s">
        <v>61</v>
      </c>
      <c r="W135" s="11" t="s">
        <v>66</v>
      </c>
      <c r="X135" s="13">
        <v>45685</v>
      </c>
    </row>
    <row r="136" spans="1:24" x14ac:dyDescent="0.3">
      <c r="A136" s="8">
        <v>135</v>
      </c>
      <c r="B136" s="8">
        <v>1053</v>
      </c>
      <c r="C136" s="8">
        <v>16</v>
      </c>
      <c r="D136" s="8">
        <v>1</v>
      </c>
      <c r="E136" s="8">
        <v>1599</v>
      </c>
      <c r="F136" s="8">
        <v>0.05</v>
      </c>
      <c r="G136" s="8">
        <v>1519</v>
      </c>
      <c r="H136" s="8">
        <v>16</v>
      </c>
      <c r="I136" s="8" t="s">
        <v>25</v>
      </c>
      <c r="J136" s="8" t="s">
        <v>6</v>
      </c>
      <c r="K136" s="8">
        <v>1599</v>
      </c>
      <c r="L136" s="8">
        <v>900</v>
      </c>
      <c r="M136" s="8">
        <v>1053</v>
      </c>
      <c r="N136" s="8">
        <v>25</v>
      </c>
      <c r="O136" s="9">
        <v>45830</v>
      </c>
      <c r="P136" s="8" t="s">
        <v>41</v>
      </c>
      <c r="Q136" s="8" t="s">
        <v>43</v>
      </c>
      <c r="R136" s="8">
        <v>4</v>
      </c>
      <c r="S136" s="8">
        <v>25</v>
      </c>
      <c r="T136" s="8" t="s">
        <v>112</v>
      </c>
      <c r="U136" s="8" t="s">
        <v>71</v>
      </c>
      <c r="V136" s="8" t="s">
        <v>72</v>
      </c>
      <c r="W136" s="8" t="s">
        <v>58</v>
      </c>
      <c r="X136" s="10">
        <v>45501</v>
      </c>
    </row>
    <row r="137" spans="1:24" x14ac:dyDescent="0.3">
      <c r="A137" s="11">
        <v>136</v>
      </c>
      <c r="B137" s="11">
        <v>1053</v>
      </c>
      <c r="C137" s="11">
        <v>7</v>
      </c>
      <c r="D137" s="11">
        <v>1</v>
      </c>
      <c r="E137" s="11">
        <v>999</v>
      </c>
      <c r="F137" s="11">
        <v>0.15</v>
      </c>
      <c r="G137" s="11">
        <v>849</v>
      </c>
      <c r="H137" s="11">
        <v>7</v>
      </c>
      <c r="I137" s="11" t="s">
        <v>13</v>
      </c>
      <c r="J137" s="11" t="s">
        <v>14</v>
      </c>
      <c r="K137" s="11">
        <v>999</v>
      </c>
      <c r="L137" s="11">
        <v>480</v>
      </c>
      <c r="M137" s="11">
        <v>1053</v>
      </c>
      <c r="N137" s="11">
        <v>25</v>
      </c>
      <c r="O137" s="12">
        <v>45830</v>
      </c>
      <c r="P137" s="11" t="s">
        <v>41</v>
      </c>
      <c r="Q137" s="11" t="s">
        <v>43</v>
      </c>
      <c r="R137" s="11">
        <v>4</v>
      </c>
      <c r="S137" s="11">
        <v>25</v>
      </c>
      <c r="T137" s="11" t="s">
        <v>112</v>
      </c>
      <c r="U137" s="11" t="s">
        <v>71</v>
      </c>
      <c r="V137" s="11" t="s">
        <v>72</v>
      </c>
      <c r="W137" s="11" t="s">
        <v>58</v>
      </c>
      <c r="X137" s="13">
        <v>45501</v>
      </c>
    </row>
    <row r="138" spans="1:24" x14ac:dyDescent="0.3">
      <c r="A138" s="8">
        <v>137</v>
      </c>
      <c r="B138" s="8">
        <v>1054</v>
      </c>
      <c r="C138" s="8">
        <v>8</v>
      </c>
      <c r="D138" s="8">
        <v>2</v>
      </c>
      <c r="E138" s="8">
        <v>299</v>
      </c>
      <c r="F138" s="8">
        <v>0.1</v>
      </c>
      <c r="G138" s="8">
        <v>538</v>
      </c>
      <c r="H138" s="8">
        <v>8</v>
      </c>
      <c r="I138" s="8" t="s">
        <v>15</v>
      </c>
      <c r="J138" s="8" t="s">
        <v>16</v>
      </c>
      <c r="K138" s="8">
        <v>299</v>
      </c>
      <c r="L138" s="8">
        <v>110</v>
      </c>
      <c r="M138" s="8">
        <v>1054</v>
      </c>
      <c r="N138" s="8">
        <v>18</v>
      </c>
      <c r="O138" s="9">
        <v>45942</v>
      </c>
      <c r="P138" s="8" t="s">
        <v>41</v>
      </c>
      <c r="Q138" s="8" t="s">
        <v>42</v>
      </c>
      <c r="R138" s="8">
        <v>5</v>
      </c>
      <c r="S138" s="8">
        <v>18</v>
      </c>
      <c r="T138" s="8" t="s">
        <v>102</v>
      </c>
      <c r="U138" s="8" t="s">
        <v>103</v>
      </c>
      <c r="V138" s="8" t="s">
        <v>81</v>
      </c>
      <c r="W138" s="8" t="s">
        <v>66</v>
      </c>
      <c r="X138" s="10">
        <v>44957</v>
      </c>
    </row>
    <row r="139" spans="1:24" x14ac:dyDescent="0.3">
      <c r="A139" s="11">
        <v>138</v>
      </c>
      <c r="B139" s="11">
        <v>1055</v>
      </c>
      <c r="C139" s="11">
        <v>1</v>
      </c>
      <c r="D139" s="11">
        <v>1</v>
      </c>
      <c r="E139" s="11">
        <v>799</v>
      </c>
      <c r="F139" s="11">
        <v>0</v>
      </c>
      <c r="G139" s="11">
        <v>799</v>
      </c>
      <c r="H139" s="11">
        <v>1</v>
      </c>
      <c r="I139" s="11" t="s">
        <v>5</v>
      </c>
      <c r="J139" s="11" t="s">
        <v>6</v>
      </c>
      <c r="K139" s="11">
        <v>799</v>
      </c>
      <c r="L139" s="11">
        <v>420</v>
      </c>
      <c r="M139" s="11">
        <v>1055</v>
      </c>
      <c r="N139" s="11">
        <v>36</v>
      </c>
      <c r="O139" s="12">
        <v>45781</v>
      </c>
      <c r="P139" s="11" t="s">
        <v>44</v>
      </c>
      <c r="Q139" s="11" t="s">
        <v>49</v>
      </c>
      <c r="R139" s="11">
        <v>4</v>
      </c>
      <c r="S139" s="11">
        <v>36</v>
      </c>
      <c r="T139" s="11" t="s">
        <v>123</v>
      </c>
      <c r="U139" s="11" t="s">
        <v>99</v>
      </c>
      <c r="V139" s="11" t="s">
        <v>75</v>
      </c>
      <c r="W139" s="11" t="s">
        <v>66</v>
      </c>
      <c r="X139" s="13">
        <v>45755</v>
      </c>
    </row>
    <row r="140" spans="1:24" x14ac:dyDescent="0.3">
      <c r="A140" s="8">
        <v>139</v>
      </c>
      <c r="B140" s="8">
        <v>1055</v>
      </c>
      <c r="C140" s="8">
        <v>3</v>
      </c>
      <c r="D140" s="8">
        <v>1</v>
      </c>
      <c r="E140" s="8">
        <v>1799</v>
      </c>
      <c r="F140" s="8">
        <v>0.15</v>
      </c>
      <c r="G140" s="8">
        <v>1529</v>
      </c>
      <c r="H140" s="8">
        <v>3</v>
      </c>
      <c r="I140" s="8" t="s">
        <v>8</v>
      </c>
      <c r="J140" s="8" t="s">
        <v>6</v>
      </c>
      <c r="K140" s="8">
        <v>1799</v>
      </c>
      <c r="L140" s="8">
        <v>980</v>
      </c>
      <c r="M140" s="8">
        <v>1055</v>
      </c>
      <c r="N140" s="8">
        <v>36</v>
      </c>
      <c r="O140" s="9">
        <v>45781</v>
      </c>
      <c r="P140" s="8" t="s">
        <v>44</v>
      </c>
      <c r="Q140" s="8" t="s">
        <v>49</v>
      </c>
      <c r="R140" s="8">
        <v>4</v>
      </c>
      <c r="S140" s="8">
        <v>36</v>
      </c>
      <c r="T140" s="8" t="s">
        <v>123</v>
      </c>
      <c r="U140" s="8" t="s">
        <v>99</v>
      </c>
      <c r="V140" s="8" t="s">
        <v>75</v>
      </c>
      <c r="W140" s="8" t="s">
        <v>66</v>
      </c>
      <c r="X140" s="10">
        <v>45755</v>
      </c>
    </row>
    <row r="141" spans="1:24" x14ac:dyDescent="0.3">
      <c r="A141" s="11">
        <v>140</v>
      </c>
      <c r="B141" s="11">
        <v>1055</v>
      </c>
      <c r="C141" s="11">
        <v>10</v>
      </c>
      <c r="D141" s="11">
        <v>1</v>
      </c>
      <c r="E141" s="11">
        <v>599</v>
      </c>
      <c r="F141" s="11">
        <v>0.15</v>
      </c>
      <c r="G141" s="11">
        <v>509</v>
      </c>
      <c r="H141" s="11">
        <v>10</v>
      </c>
      <c r="I141" s="11" t="s">
        <v>18</v>
      </c>
      <c r="J141" s="11" t="s">
        <v>19</v>
      </c>
      <c r="K141" s="11">
        <v>599</v>
      </c>
      <c r="L141" s="11">
        <v>260</v>
      </c>
      <c r="M141" s="11">
        <v>1055</v>
      </c>
      <c r="N141" s="11">
        <v>36</v>
      </c>
      <c r="O141" s="12">
        <v>45781</v>
      </c>
      <c r="P141" s="11" t="s">
        <v>44</v>
      </c>
      <c r="Q141" s="11" t="s">
        <v>49</v>
      </c>
      <c r="R141" s="11">
        <v>4</v>
      </c>
      <c r="S141" s="11">
        <v>36</v>
      </c>
      <c r="T141" s="11" t="s">
        <v>123</v>
      </c>
      <c r="U141" s="11" t="s">
        <v>99</v>
      </c>
      <c r="V141" s="11" t="s">
        <v>75</v>
      </c>
      <c r="W141" s="11" t="s">
        <v>66</v>
      </c>
      <c r="X141" s="13">
        <v>45755</v>
      </c>
    </row>
    <row r="142" spans="1:24" x14ac:dyDescent="0.3">
      <c r="A142" s="8">
        <v>141</v>
      </c>
      <c r="B142" s="8">
        <v>1055</v>
      </c>
      <c r="C142" s="8">
        <v>8</v>
      </c>
      <c r="D142" s="8">
        <v>1</v>
      </c>
      <c r="E142" s="8">
        <v>299</v>
      </c>
      <c r="F142" s="8">
        <v>0.1</v>
      </c>
      <c r="G142" s="8">
        <v>269</v>
      </c>
      <c r="H142" s="8">
        <v>8</v>
      </c>
      <c r="I142" s="8" t="s">
        <v>15</v>
      </c>
      <c r="J142" s="8" t="s">
        <v>16</v>
      </c>
      <c r="K142" s="8">
        <v>299</v>
      </c>
      <c r="L142" s="8">
        <v>110</v>
      </c>
      <c r="M142" s="8">
        <v>1055</v>
      </c>
      <c r="N142" s="8">
        <v>36</v>
      </c>
      <c r="O142" s="9">
        <v>45781</v>
      </c>
      <c r="P142" s="8" t="s">
        <v>44</v>
      </c>
      <c r="Q142" s="8" t="s">
        <v>49</v>
      </c>
      <c r="R142" s="8">
        <v>4</v>
      </c>
      <c r="S142" s="8">
        <v>36</v>
      </c>
      <c r="T142" s="8" t="s">
        <v>123</v>
      </c>
      <c r="U142" s="8" t="s">
        <v>99</v>
      </c>
      <c r="V142" s="8" t="s">
        <v>75</v>
      </c>
      <c r="W142" s="8" t="s">
        <v>66</v>
      </c>
      <c r="X142" s="10">
        <v>45755</v>
      </c>
    </row>
    <row r="143" spans="1:24" x14ac:dyDescent="0.3">
      <c r="A143" s="11">
        <v>142</v>
      </c>
      <c r="B143" s="11">
        <v>1056</v>
      </c>
      <c r="C143" s="11">
        <v>10</v>
      </c>
      <c r="D143" s="11">
        <v>1</v>
      </c>
      <c r="E143" s="11">
        <v>599</v>
      </c>
      <c r="F143" s="11">
        <v>0</v>
      </c>
      <c r="G143" s="11">
        <v>599</v>
      </c>
      <c r="H143" s="11">
        <v>10</v>
      </c>
      <c r="I143" s="11" t="s">
        <v>18</v>
      </c>
      <c r="J143" s="11" t="s">
        <v>19</v>
      </c>
      <c r="K143" s="11">
        <v>599</v>
      </c>
      <c r="L143" s="11">
        <v>260</v>
      </c>
      <c r="M143" s="11">
        <v>1056</v>
      </c>
      <c r="N143" s="11">
        <v>36</v>
      </c>
      <c r="O143" s="12">
        <v>45827</v>
      </c>
      <c r="P143" s="11" t="s">
        <v>41</v>
      </c>
      <c r="Q143" s="11" t="s">
        <v>49</v>
      </c>
      <c r="R143" s="11">
        <v>6</v>
      </c>
      <c r="S143" s="11">
        <v>36</v>
      </c>
      <c r="T143" s="11" t="s">
        <v>123</v>
      </c>
      <c r="U143" s="11" t="s">
        <v>99</v>
      </c>
      <c r="V143" s="11" t="s">
        <v>75</v>
      </c>
      <c r="W143" s="11" t="s">
        <v>66</v>
      </c>
      <c r="X143" s="13">
        <v>45755</v>
      </c>
    </row>
    <row r="144" spans="1:24" x14ac:dyDescent="0.3">
      <c r="A144" s="8">
        <v>143</v>
      </c>
      <c r="B144" s="8">
        <v>1056</v>
      </c>
      <c r="C144" s="8">
        <v>9</v>
      </c>
      <c r="D144" s="8">
        <v>1</v>
      </c>
      <c r="E144" s="8">
        <v>199</v>
      </c>
      <c r="F144" s="8">
        <v>0.2</v>
      </c>
      <c r="G144" s="8">
        <v>159</v>
      </c>
      <c r="H144" s="8">
        <v>9</v>
      </c>
      <c r="I144" s="8" t="s">
        <v>17</v>
      </c>
      <c r="J144" s="8" t="s">
        <v>16</v>
      </c>
      <c r="K144" s="8">
        <v>199</v>
      </c>
      <c r="L144" s="8">
        <v>65</v>
      </c>
      <c r="M144" s="8">
        <v>1056</v>
      </c>
      <c r="N144" s="8">
        <v>36</v>
      </c>
      <c r="O144" s="9">
        <v>45827</v>
      </c>
      <c r="P144" s="8" t="s">
        <v>41</v>
      </c>
      <c r="Q144" s="8" t="s">
        <v>49</v>
      </c>
      <c r="R144" s="8">
        <v>6</v>
      </c>
      <c r="S144" s="8">
        <v>36</v>
      </c>
      <c r="T144" s="8" t="s">
        <v>123</v>
      </c>
      <c r="U144" s="8" t="s">
        <v>99</v>
      </c>
      <c r="V144" s="8" t="s">
        <v>75</v>
      </c>
      <c r="W144" s="8" t="s">
        <v>66</v>
      </c>
      <c r="X144" s="10">
        <v>45755</v>
      </c>
    </row>
    <row r="145" spans="1:24" x14ac:dyDescent="0.3">
      <c r="A145" s="11">
        <v>144</v>
      </c>
      <c r="B145" s="11">
        <v>1056</v>
      </c>
      <c r="C145" s="11">
        <v>8</v>
      </c>
      <c r="D145" s="11">
        <v>1</v>
      </c>
      <c r="E145" s="11">
        <v>299</v>
      </c>
      <c r="F145" s="11">
        <v>0.2</v>
      </c>
      <c r="G145" s="11">
        <v>239</v>
      </c>
      <c r="H145" s="11">
        <v>8</v>
      </c>
      <c r="I145" s="11" t="s">
        <v>15</v>
      </c>
      <c r="J145" s="11" t="s">
        <v>16</v>
      </c>
      <c r="K145" s="11">
        <v>299</v>
      </c>
      <c r="L145" s="11">
        <v>110</v>
      </c>
      <c r="M145" s="11">
        <v>1056</v>
      </c>
      <c r="N145" s="11">
        <v>36</v>
      </c>
      <c r="O145" s="12">
        <v>45827</v>
      </c>
      <c r="P145" s="11" t="s">
        <v>41</v>
      </c>
      <c r="Q145" s="11" t="s">
        <v>49</v>
      </c>
      <c r="R145" s="11">
        <v>6</v>
      </c>
      <c r="S145" s="11">
        <v>36</v>
      </c>
      <c r="T145" s="11" t="s">
        <v>123</v>
      </c>
      <c r="U145" s="11" t="s">
        <v>99</v>
      </c>
      <c r="V145" s="11" t="s">
        <v>75</v>
      </c>
      <c r="W145" s="11" t="s">
        <v>66</v>
      </c>
      <c r="X145" s="13">
        <v>45755</v>
      </c>
    </row>
    <row r="146" spans="1:24" x14ac:dyDescent="0.3">
      <c r="A146" s="8">
        <v>145</v>
      </c>
      <c r="B146" s="8">
        <v>1057</v>
      </c>
      <c r="C146" s="8">
        <v>19</v>
      </c>
      <c r="D146" s="8">
        <v>3</v>
      </c>
      <c r="E146" s="8">
        <v>499</v>
      </c>
      <c r="F146" s="8">
        <v>0</v>
      </c>
      <c r="G146" s="8">
        <v>1497</v>
      </c>
      <c r="H146" s="8">
        <v>19</v>
      </c>
      <c r="I146" s="8" t="s">
        <v>28</v>
      </c>
      <c r="J146" s="8" t="s">
        <v>11</v>
      </c>
      <c r="K146" s="8">
        <v>499</v>
      </c>
      <c r="L146" s="8">
        <v>220</v>
      </c>
      <c r="M146" s="8">
        <v>1057</v>
      </c>
      <c r="N146" s="8">
        <v>12</v>
      </c>
      <c r="O146" s="9">
        <v>45756</v>
      </c>
      <c r="P146" s="8" t="s">
        <v>41</v>
      </c>
      <c r="Q146" s="8" t="s">
        <v>49</v>
      </c>
      <c r="R146" s="8">
        <v>6</v>
      </c>
      <c r="S146" s="8">
        <v>12</v>
      </c>
      <c r="T146" s="8" t="s">
        <v>90</v>
      </c>
      <c r="U146" s="8" t="s">
        <v>91</v>
      </c>
      <c r="V146" s="8" t="s">
        <v>61</v>
      </c>
      <c r="W146" s="8" t="s">
        <v>66</v>
      </c>
      <c r="X146" s="10">
        <v>45685</v>
      </c>
    </row>
    <row r="147" spans="1:24" x14ac:dyDescent="0.3">
      <c r="A147" s="11">
        <v>146</v>
      </c>
      <c r="B147" s="11">
        <v>1057</v>
      </c>
      <c r="C147" s="11">
        <v>17</v>
      </c>
      <c r="D147" s="11">
        <v>1</v>
      </c>
      <c r="E147" s="11">
        <v>8499</v>
      </c>
      <c r="F147" s="11">
        <v>0.05</v>
      </c>
      <c r="G147" s="11">
        <v>8074</v>
      </c>
      <c r="H147" s="11">
        <v>17</v>
      </c>
      <c r="I147" s="11" t="s">
        <v>26</v>
      </c>
      <c r="J147" s="11" t="s">
        <v>14</v>
      </c>
      <c r="K147" s="11">
        <v>8499</v>
      </c>
      <c r="L147" s="11">
        <v>6100</v>
      </c>
      <c r="M147" s="11">
        <v>1057</v>
      </c>
      <c r="N147" s="11">
        <v>12</v>
      </c>
      <c r="O147" s="12">
        <v>45756</v>
      </c>
      <c r="P147" s="11" t="s">
        <v>41</v>
      </c>
      <c r="Q147" s="11" t="s">
        <v>49</v>
      </c>
      <c r="R147" s="11">
        <v>6</v>
      </c>
      <c r="S147" s="11">
        <v>12</v>
      </c>
      <c r="T147" s="11" t="s">
        <v>90</v>
      </c>
      <c r="U147" s="11" t="s">
        <v>91</v>
      </c>
      <c r="V147" s="11" t="s">
        <v>61</v>
      </c>
      <c r="W147" s="11" t="s">
        <v>66</v>
      </c>
      <c r="X147" s="13">
        <v>45685</v>
      </c>
    </row>
    <row r="148" spans="1:24" x14ac:dyDescent="0.3">
      <c r="A148" s="8">
        <v>147</v>
      </c>
      <c r="B148" s="8">
        <v>1057</v>
      </c>
      <c r="C148" s="8">
        <v>10</v>
      </c>
      <c r="D148" s="8">
        <v>1</v>
      </c>
      <c r="E148" s="8">
        <v>599</v>
      </c>
      <c r="F148" s="8">
        <v>0</v>
      </c>
      <c r="G148" s="8">
        <v>599</v>
      </c>
      <c r="H148" s="8">
        <v>10</v>
      </c>
      <c r="I148" s="8" t="s">
        <v>18</v>
      </c>
      <c r="J148" s="8" t="s">
        <v>19</v>
      </c>
      <c r="K148" s="8">
        <v>599</v>
      </c>
      <c r="L148" s="8">
        <v>260</v>
      </c>
      <c r="M148" s="8">
        <v>1057</v>
      </c>
      <c r="N148" s="8">
        <v>12</v>
      </c>
      <c r="O148" s="9">
        <v>45756</v>
      </c>
      <c r="P148" s="8" t="s">
        <v>41</v>
      </c>
      <c r="Q148" s="8" t="s">
        <v>49</v>
      </c>
      <c r="R148" s="8">
        <v>6</v>
      </c>
      <c r="S148" s="8">
        <v>12</v>
      </c>
      <c r="T148" s="8" t="s">
        <v>90</v>
      </c>
      <c r="U148" s="8" t="s">
        <v>91</v>
      </c>
      <c r="V148" s="8" t="s">
        <v>61</v>
      </c>
      <c r="W148" s="8" t="s">
        <v>66</v>
      </c>
      <c r="X148" s="10">
        <v>45685</v>
      </c>
    </row>
    <row r="149" spans="1:24" x14ac:dyDescent="0.3">
      <c r="A149" s="11">
        <v>148</v>
      </c>
      <c r="B149" s="11">
        <v>1058</v>
      </c>
      <c r="C149" s="11">
        <v>5</v>
      </c>
      <c r="D149" s="11">
        <v>2</v>
      </c>
      <c r="E149" s="11">
        <v>1299</v>
      </c>
      <c r="F149" s="11">
        <v>0.15</v>
      </c>
      <c r="G149" s="11">
        <v>2208</v>
      </c>
      <c r="H149" s="11">
        <v>5</v>
      </c>
      <c r="I149" s="11" t="s">
        <v>10</v>
      </c>
      <c r="J149" s="11" t="s">
        <v>11</v>
      </c>
      <c r="K149" s="11">
        <v>1299</v>
      </c>
      <c r="L149" s="11">
        <v>650</v>
      </c>
      <c r="M149" s="11">
        <v>1058</v>
      </c>
      <c r="N149" s="11">
        <v>35</v>
      </c>
      <c r="O149" s="12">
        <v>45722</v>
      </c>
      <c r="P149" s="11" t="s">
        <v>41</v>
      </c>
      <c r="Q149" s="11" t="s">
        <v>46</v>
      </c>
      <c r="R149" s="11">
        <v>1</v>
      </c>
      <c r="S149" s="11">
        <v>35</v>
      </c>
      <c r="T149" s="11" t="s">
        <v>122</v>
      </c>
      <c r="U149" s="11" t="s">
        <v>97</v>
      </c>
      <c r="V149" s="11" t="s">
        <v>72</v>
      </c>
      <c r="W149" s="11" t="s">
        <v>62</v>
      </c>
      <c r="X149" s="13">
        <v>45211</v>
      </c>
    </row>
    <row r="150" spans="1:24" x14ac:dyDescent="0.3">
      <c r="A150" s="8">
        <v>149</v>
      </c>
      <c r="B150" s="8">
        <v>1058</v>
      </c>
      <c r="C150" s="8">
        <v>16</v>
      </c>
      <c r="D150" s="8">
        <v>1</v>
      </c>
      <c r="E150" s="8">
        <v>1599</v>
      </c>
      <c r="F150" s="8">
        <v>0.1</v>
      </c>
      <c r="G150" s="8">
        <v>1439</v>
      </c>
      <c r="H150" s="8">
        <v>16</v>
      </c>
      <c r="I150" s="8" t="s">
        <v>25</v>
      </c>
      <c r="J150" s="8" t="s">
        <v>6</v>
      </c>
      <c r="K150" s="8">
        <v>1599</v>
      </c>
      <c r="L150" s="8">
        <v>900</v>
      </c>
      <c r="M150" s="8">
        <v>1058</v>
      </c>
      <c r="N150" s="8">
        <v>35</v>
      </c>
      <c r="O150" s="9">
        <v>45722</v>
      </c>
      <c r="P150" s="8" t="s">
        <v>41</v>
      </c>
      <c r="Q150" s="8" t="s">
        <v>46</v>
      </c>
      <c r="R150" s="8">
        <v>1</v>
      </c>
      <c r="S150" s="8">
        <v>35</v>
      </c>
      <c r="T150" s="8" t="s">
        <v>122</v>
      </c>
      <c r="U150" s="8" t="s">
        <v>97</v>
      </c>
      <c r="V150" s="8" t="s">
        <v>72</v>
      </c>
      <c r="W150" s="8" t="s">
        <v>62</v>
      </c>
      <c r="X150" s="10">
        <v>45211</v>
      </c>
    </row>
    <row r="151" spans="1:24" x14ac:dyDescent="0.3">
      <c r="A151" s="11">
        <v>150</v>
      </c>
      <c r="B151" s="11">
        <v>1058</v>
      </c>
      <c r="C151" s="11">
        <v>4</v>
      </c>
      <c r="D151" s="11">
        <v>1</v>
      </c>
      <c r="E151" s="11">
        <v>2199</v>
      </c>
      <c r="F151" s="11">
        <v>0</v>
      </c>
      <c r="G151" s="11">
        <v>2199</v>
      </c>
      <c r="H151" s="11">
        <v>4</v>
      </c>
      <c r="I151" s="11" t="s">
        <v>9</v>
      </c>
      <c r="J151" s="11" t="s">
        <v>6</v>
      </c>
      <c r="K151" s="11">
        <v>2199</v>
      </c>
      <c r="L151" s="11">
        <v>1250</v>
      </c>
      <c r="M151" s="11">
        <v>1058</v>
      </c>
      <c r="N151" s="11">
        <v>35</v>
      </c>
      <c r="O151" s="12">
        <v>45722</v>
      </c>
      <c r="P151" s="11" t="s">
        <v>41</v>
      </c>
      <c r="Q151" s="11" t="s">
        <v>46</v>
      </c>
      <c r="R151" s="11">
        <v>1</v>
      </c>
      <c r="S151" s="11">
        <v>35</v>
      </c>
      <c r="T151" s="11" t="s">
        <v>122</v>
      </c>
      <c r="U151" s="11" t="s">
        <v>97</v>
      </c>
      <c r="V151" s="11" t="s">
        <v>72</v>
      </c>
      <c r="W151" s="11" t="s">
        <v>62</v>
      </c>
      <c r="X151" s="13">
        <v>45211</v>
      </c>
    </row>
    <row r="152" spans="1:24" x14ac:dyDescent="0.3">
      <c r="A152" s="8">
        <v>151</v>
      </c>
      <c r="B152" s="8">
        <v>1059</v>
      </c>
      <c r="C152" s="8">
        <v>3</v>
      </c>
      <c r="D152" s="8">
        <v>1</v>
      </c>
      <c r="E152" s="8">
        <v>1799</v>
      </c>
      <c r="F152" s="8">
        <v>0</v>
      </c>
      <c r="G152" s="8">
        <v>1799</v>
      </c>
      <c r="H152" s="8">
        <v>3</v>
      </c>
      <c r="I152" s="8" t="s">
        <v>8</v>
      </c>
      <c r="J152" s="8" t="s">
        <v>6</v>
      </c>
      <c r="K152" s="8">
        <v>1799</v>
      </c>
      <c r="L152" s="8">
        <v>980</v>
      </c>
      <c r="M152" s="8">
        <v>1059</v>
      </c>
      <c r="N152" s="8">
        <v>4</v>
      </c>
      <c r="O152" s="9">
        <v>45787</v>
      </c>
      <c r="P152" s="8" t="s">
        <v>47</v>
      </c>
      <c r="Q152" s="8" t="s">
        <v>49</v>
      </c>
      <c r="R152" s="8">
        <v>0</v>
      </c>
      <c r="S152" s="8">
        <v>4</v>
      </c>
      <c r="T152" s="8" t="s">
        <v>67</v>
      </c>
      <c r="U152" s="8" t="s">
        <v>68</v>
      </c>
      <c r="V152" s="8" t="s">
        <v>69</v>
      </c>
      <c r="W152" s="8" t="s">
        <v>58</v>
      </c>
      <c r="X152" s="10">
        <v>45686</v>
      </c>
    </row>
    <row r="153" spans="1:24" x14ac:dyDescent="0.3">
      <c r="A153" s="11">
        <v>152</v>
      </c>
      <c r="B153" s="11">
        <v>1060</v>
      </c>
      <c r="C153" s="11">
        <v>19</v>
      </c>
      <c r="D153" s="11">
        <v>1</v>
      </c>
      <c r="E153" s="11">
        <v>499</v>
      </c>
      <c r="F153" s="11">
        <v>0</v>
      </c>
      <c r="G153" s="11">
        <v>499</v>
      </c>
      <c r="H153" s="11">
        <v>19</v>
      </c>
      <c r="I153" s="11" t="s">
        <v>28</v>
      </c>
      <c r="J153" s="11" t="s">
        <v>11</v>
      </c>
      <c r="K153" s="11">
        <v>499</v>
      </c>
      <c r="L153" s="11">
        <v>220</v>
      </c>
      <c r="M153" s="11">
        <v>1060</v>
      </c>
      <c r="N153" s="11">
        <v>37</v>
      </c>
      <c r="O153" s="12">
        <v>45980</v>
      </c>
      <c r="P153" s="11" t="s">
        <v>44</v>
      </c>
      <c r="Q153" s="11" t="s">
        <v>42</v>
      </c>
      <c r="R153" s="11">
        <v>1</v>
      </c>
      <c r="S153" s="11">
        <v>37</v>
      </c>
      <c r="T153" s="11" t="s">
        <v>124</v>
      </c>
      <c r="U153" s="11" t="s">
        <v>101</v>
      </c>
      <c r="V153" s="11" t="s">
        <v>78</v>
      </c>
      <c r="W153" s="11" t="s">
        <v>58</v>
      </c>
      <c r="X153" s="13">
        <v>44933</v>
      </c>
    </row>
    <row r="154" spans="1:24" x14ac:dyDescent="0.3">
      <c r="A154" s="8">
        <v>153</v>
      </c>
      <c r="B154" s="8">
        <v>1060</v>
      </c>
      <c r="C154" s="8">
        <v>10</v>
      </c>
      <c r="D154" s="8">
        <v>1</v>
      </c>
      <c r="E154" s="8">
        <v>599</v>
      </c>
      <c r="F154" s="8">
        <v>0.1</v>
      </c>
      <c r="G154" s="8">
        <v>539</v>
      </c>
      <c r="H154" s="8">
        <v>10</v>
      </c>
      <c r="I154" s="8" t="s">
        <v>18</v>
      </c>
      <c r="J154" s="8" t="s">
        <v>19</v>
      </c>
      <c r="K154" s="8">
        <v>599</v>
      </c>
      <c r="L154" s="8">
        <v>260</v>
      </c>
      <c r="M154" s="8">
        <v>1060</v>
      </c>
      <c r="N154" s="8">
        <v>37</v>
      </c>
      <c r="O154" s="9">
        <v>45980</v>
      </c>
      <c r="P154" s="8" t="s">
        <v>44</v>
      </c>
      <c r="Q154" s="8" t="s">
        <v>42</v>
      </c>
      <c r="R154" s="8">
        <v>1</v>
      </c>
      <c r="S154" s="8">
        <v>37</v>
      </c>
      <c r="T154" s="8" t="s">
        <v>124</v>
      </c>
      <c r="U154" s="8" t="s">
        <v>101</v>
      </c>
      <c r="V154" s="8" t="s">
        <v>78</v>
      </c>
      <c r="W154" s="8" t="s">
        <v>58</v>
      </c>
      <c r="X154" s="10">
        <v>44933</v>
      </c>
    </row>
    <row r="155" spans="1:24" x14ac:dyDescent="0.3">
      <c r="A155" s="11">
        <v>154</v>
      </c>
      <c r="B155" s="11">
        <v>1061</v>
      </c>
      <c r="C155" s="11">
        <v>17</v>
      </c>
      <c r="D155" s="11">
        <v>1</v>
      </c>
      <c r="E155" s="11">
        <v>8499</v>
      </c>
      <c r="F155" s="11">
        <v>0.1</v>
      </c>
      <c r="G155" s="11">
        <v>7649</v>
      </c>
      <c r="H155" s="11">
        <v>17</v>
      </c>
      <c r="I155" s="11" t="s">
        <v>26</v>
      </c>
      <c r="J155" s="11" t="s">
        <v>14</v>
      </c>
      <c r="K155" s="11">
        <v>8499</v>
      </c>
      <c r="L155" s="11">
        <v>6100</v>
      </c>
      <c r="M155" s="11">
        <v>1061</v>
      </c>
      <c r="N155" s="11">
        <v>39</v>
      </c>
      <c r="O155" s="12">
        <v>45963</v>
      </c>
      <c r="P155" s="11" t="s">
        <v>47</v>
      </c>
      <c r="Q155" s="11" t="s">
        <v>45</v>
      </c>
      <c r="R155" s="11">
        <v>0</v>
      </c>
      <c r="S155" s="11">
        <v>39</v>
      </c>
      <c r="T155" s="11" t="s">
        <v>126</v>
      </c>
      <c r="U155" s="11" t="s">
        <v>105</v>
      </c>
      <c r="V155" s="11" t="s">
        <v>84</v>
      </c>
      <c r="W155" s="11" t="s">
        <v>66</v>
      </c>
      <c r="X155" s="13">
        <v>45752</v>
      </c>
    </row>
    <row r="156" spans="1:24" x14ac:dyDescent="0.3">
      <c r="A156" s="8">
        <v>155</v>
      </c>
      <c r="B156" s="8">
        <v>1061</v>
      </c>
      <c r="C156" s="8">
        <v>13</v>
      </c>
      <c r="D156" s="8">
        <v>1</v>
      </c>
      <c r="E156" s="8">
        <v>10999</v>
      </c>
      <c r="F156" s="8">
        <v>0.15</v>
      </c>
      <c r="G156" s="8">
        <v>9349</v>
      </c>
      <c r="H156" s="8">
        <v>13</v>
      </c>
      <c r="I156" s="8" t="s">
        <v>22</v>
      </c>
      <c r="J156" s="8" t="s">
        <v>6</v>
      </c>
      <c r="K156" s="8">
        <v>10999</v>
      </c>
      <c r="L156" s="8">
        <v>7900</v>
      </c>
      <c r="M156" s="8">
        <v>1061</v>
      </c>
      <c r="N156" s="8">
        <v>39</v>
      </c>
      <c r="O156" s="9">
        <v>45963</v>
      </c>
      <c r="P156" s="8" t="s">
        <v>47</v>
      </c>
      <c r="Q156" s="8" t="s">
        <v>45</v>
      </c>
      <c r="R156" s="8">
        <v>0</v>
      </c>
      <c r="S156" s="8">
        <v>39</v>
      </c>
      <c r="T156" s="8" t="s">
        <v>126</v>
      </c>
      <c r="U156" s="8" t="s">
        <v>105</v>
      </c>
      <c r="V156" s="8" t="s">
        <v>84</v>
      </c>
      <c r="W156" s="8" t="s">
        <v>66</v>
      </c>
      <c r="X156" s="10">
        <v>45752</v>
      </c>
    </row>
    <row r="157" spans="1:24" x14ac:dyDescent="0.3">
      <c r="A157" s="11">
        <v>156</v>
      </c>
      <c r="B157" s="11">
        <v>1062</v>
      </c>
      <c r="C157" s="11">
        <v>20</v>
      </c>
      <c r="D157" s="11">
        <v>3</v>
      </c>
      <c r="E157" s="11">
        <v>449</v>
      </c>
      <c r="F157" s="11">
        <v>0</v>
      </c>
      <c r="G157" s="11">
        <v>1347</v>
      </c>
      <c r="H157" s="11">
        <v>20</v>
      </c>
      <c r="I157" s="11" t="s">
        <v>29</v>
      </c>
      <c r="J157" s="11" t="s">
        <v>16</v>
      </c>
      <c r="K157" s="11">
        <v>449</v>
      </c>
      <c r="L157" s="11">
        <v>180</v>
      </c>
      <c r="M157" s="11">
        <v>1062</v>
      </c>
      <c r="N157" s="11">
        <v>28</v>
      </c>
      <c r="O157" s="12">
        <v>45814</v>
      </c>
      <c r="P157" s="11" t="s">
        <v>48</v>
      </c>
      <c r="Q157" s="11" t="s">
        <v>45</v>
      </c>
      <c r="R157" s="11">
        <v>0</v>
      </c>
      <c r="S157" s="11">
        <v>28</v>
      </c>
      <c r="T157" s="11" t="s">
        <v>115</v>
      </c>
      <c r="U157" s="11" t="s">
        <v>80</v>
      </c>
      <c r="V157" s="11" t="s">
        <v>81</v>
      </c>
      <c r="W157" s="11" t="s">
        <v>58</v>
      </c>
      <c r="X157" s="13">
        <v>45592</v>
      </c>
    </row>
    <row r="158" spans="1:24" x14ac:dyDescent="0.3">
      <c r="A158" s="8">
        <v>157</v>
      </c>
      <c r="B158" s="8">
        <v>1063</v>
      </c>
      <c r="C158" s="8">
        <v>8</v>
      </c>
      <c r="D158" s="8">
        <v>1</v>
      </c>
      <c r="E158" s="8">
        <v>299</v>
      </c>
      <c r="F158" s="8">
        <v>0</v>
      </c>
      <c r="G158" s="8">
        <v>299</v>
      </c>
      <c r="H158" s="8">
        <v>8</v>
      </c>
      <c r="I158" s="8" t="s">
        <v>15</v>
      </c>
      <c r="J158" s="8" t="s">
        <v>16</v>
      </c>
      <c r="K158" s="8">
        <v>299</v>
      </c>
      <c r="L158" s="8">
        <v>110</v>
      </c>
      <c r="M158" s="8">
        <v>1063</v>
      </c>
      <c r="N158" s="8">
        <v>14</v>
      </c>
      <c r="O158" s="9">
        <v>45978</v>
      </c>
      <c r="P158" s="8" t="s">
        <v>41</v>
      </c>
      <c r="Q158" s="8" t="s">
        <v>46</v>
      </c>
      <c r="R158" s="8">
        <v>3</v>
      </c>
      <c r="S158" s="8">
        <v>14</v>
      </c>
      <c r="T158" s="8" t="s">
        <v>94</v>
      </c>
      <c r="U158" s="8" t="s">
        <v>95</v>
      </c>
      <c r="V158" s="8" t="s">
        <v>69</v>
      </c>
      <c r="W158" s="8" t="s">
        <v>62</v>
      </c>
      <c r="X158" s="10">
        <v>45016</v>
      </c>
    </row>
    <row r="159" spans="1:24" x14ac:dyDescent="0.3">
      <c r="A159" s="11">
        <v>158</v>
      </c>
      <c r="B159" s="11">
        <v>1063</v>
      </c>
      <c r="C159" s="11">
        <v>6</v>
      </c>
      <c r="D159" s="11">
        <v>1</v>
      </c>
      <c r="E159" s="11">
        <v>1899</v>
      </c>
      <c r="F159" s="11">
        <v>0.1</v>
      </c>
      <c r="G159" s="11">
        <v>1709</v>
      </c>
      <c r="H159" s="11">
        <v>6</v>
      </c>
      <c r="I159" s="11" t="s">
        <v>12</v>
      </c>
      <c r="J159" s="11" t="s">
        <v>11</v>
      </c>
      <c r="K159" s="11">
        <v>1899</v>
      </c>
      <c r="L159" s="11">
        <v>950</v>
      </c>
      <c r="M159" s="11">
        <v>1063</v>
      </c>
      <c r="N159" s="11">
        <v>14</v>
      </c>
      <c r="O159" s="12">
        <v>45978</v>
      </c>
      <c r="P159" s="11" t="s">
        <v>41</v>
      </c>
      <c r="Q159" s="11" t="s">
        <v>46</v>
      </c>
      <c r="R159" s="11">
        <v>3</v>
      </c>
      <c r="S159" s="11">
        <v>14</v>
      </c>
      <c r="T159" s="11" t="s">
        <v>94</v>
      </c>
      <c r="U159" s="11" t="s">
        <v>95</v>
      </c>
      <c r="V159" s="11" t="s">
        <v>69</v>
      </c>
      <c r="W159" s="11" t="s">
        <v>62</v>
      </c>
      <c r="X159" s="13">
        <v>45016</v>
      </c>
    </row>
    <row r="160" spans="1:24" x14ac:dyDescent="0.3">
      <c r="A160" s="8">
        <v>159</v>
      </c>
      <c r="B160" s="8">
        <v>1064</v>
      </c>
      <c r="C160" s="8">
        <v>10</v>
      </c>
      <c r="D160" s="8">
        <v>2</v>
      </c>
      <c r="E160" s="8">
        <v>599</v>
      </c>
      <c r="F160" s="8">
        <v>0.05</v>
      </c>
      <c r="G160" s="8">
        <v>1138</v>
      </c>
      <c r="H160" s="8">
        <v>10</v>
      </c>
      <c r="I160" s="8" t="s">
        <v>18</v>
      </c>
      <c r="J160" s="8" t="s">
        <v>19</v>
      </c>
      <c r="K160" s="8">
        <v>599</v>
      </c>
      <c r="L160" s="8">
        <v>260</v>
      </c>
      <c r="M160" s="8">
        <v>1064</v>
      </c>
      <c r="N160" s="8">
        <v>39</v>
      </c>
      <c r="O160" s="9">
        <v>45898</v>
      </c>
      <c r="P160" s="8" t="s">
        <v>41</v>
      </c>
      <c r="Q160" s="8" t="s">
        <v>42</v>
      </c>
      <c r="R160" s="8">
        <v>1</v>
      </c>
      <c r="S160" s="8">
        <v>39</v>
      </c>
      <c r="T160" s="8" t="s">
        <v>126</v>
      </c>
      <c r="U160" s="8" t="s">
        <v>105</v>
      </c>
      <c r="V160" s="8" t="s">
        <v>84</v>
      </c>
      <c r="W160" s="8" t="s">
        <v>66</v>
      </c>
      <c r="X160" s="10">
        <v>45752</v>
      </c>
    </row>
    <row r="161" spans="1:24" x14ac:dyDescent="0.3">
      <c r="A161" s="11">
        <v>160</v>
      </c>
      <c r="B161" s="11">
        <v>1064</v>
      </c>
      <c r="C161" s="11">
        <v>15</v>
      </c>
      <c r="D161" s="11">
        <v>2</v>
      </c>
      <c r="E161" s="11">
        <v>349</v>
      </c>
      <c r="F161" s="11">
        <v>0.2</v>
      </c>
      <c r="G161" s="11">
        <v>558</v>
      </c>
      <c r="H161" s="11">
        <v>15</v>
      </c>
      <c r="I161" s="11" t="s">
        <v>24</v>
      </c>
      <c r="J161" s="11" t="s">
        <v>11</v>
      </c>
      <c r="K161" s="11">
        <v>349</v>
      </c>
      <c r="L161" s="11">
        <v>120</v>
      </c>
      <c r="M161" s="11">
        <v>1064</v>
      </c>
      <c r="N161" s="11">
        <v>39</v>
      </c>
      <c r="O161" s="12">
        <v>45898</v>
      </c>
      <c r="P161" s="11" t="s">
        <v>41</v>
      </c>
      <c r="Q161" s="11" t="s">
        <v>42</v>
      </c>
      <c r="R161" s="11">
        <v>1</v>
      </c>
      <c r="S161" s="11">
        <v>39</v>
      </c>
      <c r="T161" s="11" t="s">
        <v>126</v>
      </c>
      <c r="U161" s="11" t="s">
        <v>105</v>
      </c>
      <c r="V161" s="11" t="s">
        <v>84</v>
      </c>
      <c r="W161" s="11" t="s">
        <v>66</v>
      </c>
      <c r="X161" s="13">
        <v>45752</v>
      </c>
    </row>
    <row r="162" spans="1:24" x14ac:dyDescent="0.3">
      <c r="A162" s="8">
        <v>161</v>
      </c>
      <c r="B162" s="8">
        <v>1064</v>
      </c>
      <c r="C162" s="8">
        <v>3</v>
      </c>
      <c r="D162" s="8">
        <v>1</v>
      </c>
      <c r="E162" s="8">
        <v>1799</v>
      </c>
      <c r="F162" s="8">
        <v>0</v>
      </c>
      <c r="G162" s="8">
        <v>1799</v>
      </c>
      <c r="H162" s="8">
        <v>3</v>
      </c>
      <c r="I162" s="8" t="s">
        <v>8</v>
      </c>
      <c r="J162" s="8" t="s">
        <v>6</v>
      </c>
      <c r="K162" s="8">
        <v>1799</v>
      </c>
      <c r="L162" s="8">
        <v>980</v>
      </c>
      <c r="M162" s="8">
        <v>1064</v>
      </c>
      <c r="N162" s="8">
        <v>39</v>
      </c>
      <c r="O162" s="9">
        <v>45898</v>
      </c>
      <c r="P162" s="8" t="s">
        <v>41</v>
      </c>
      <c r="Q162" s="8" t="s">
        <v>42</v>
      </c>
      <c r="R162" s="8">
        <v>1</v>
      </c>
      <c r="S162" s="8">
        <v>39</v>
      </c>
      <c r="T162" s="8" t="s">
        <v>126</v>
      </c>
      <c r="U162" s="8" t="s">
        <v>105</v>
      </c>
      <c r="V162" s="8" t="s">
        <v>84</v>
      </c>
      <c r="W162" s="8" t="s">
        <v>66</v>
      </c>
      <c r="X162" s="10">
        <v>45752</v>
      </c>
    </row>
    <row r="163" spans="1:24" x14ac:dyDescent="0.3">
      <c r="A163" s="11">
        <v>162</v>
      </c>
      <c r="B163" s="11">
        <v>1065</v>
      </c>
      <c r="C163" s="11">
        <v>9</v>
      </c>
      <c r="D163" s="11">
        <v>1</v>
      </c>
      <c r="E163" s="11">
        <v>199</v>
      </c>
      <c r="F163" s="11">
        <v>0</v>
      </c>
      <c r="G163" s="11">
        <v>199</v>
      </c>
      <c r="H163" s="11">
        <v>9</v>
      </c>
      <c r="I163" s="11" t="s">
        <v>17</v>
      </c>
      <c r="J163" s="11" t="s">
        <v>16</v>
      </c>
      <c r="K163" s="11">
        <v>199</v>
      </c>
      <c r="L163" s="11">
        <v>65</v>
      </c>
      <c r="M163" s="11">
        <v>1065</v>
      </c>
      <c r="N163" s="11">
        <v>28</v>
      </c>
      <c r="O163" s="12">
        <v>45716</v>
      </c>
      <c r="P163" s="11" t="s">
        <v>48</v>
      </c>
      <c r="Q163" s="11" t="s">
        <v>42</v>
      </c>
      <c r="R163" s="11">
        <v>0</v>
      </c>
      <c r="S163" s="11">
        <v>28</v>
      </c>
      <c r="T163" s="11" t="s">
        <v>115</v>
      </c>
      <c r="U163" s="11" t="s">
        <v>80</v>
      </c>
      <c r="V163" s="11" t="s">
        <v>81</v>
      </c>
      <c r="W163" s="11" t="s">
        <v>58</v>
      </c>
      <c r="X163" s="13">
        <v>45592</v>
      </c>
    </row>
    <row r="164" spans="1:24" x14ac:dyDescent="0.3">
      <c r="A164" s="8">
        <v>163</v>
      </c>
      <c r="B164" s="8">
        <v>1065</v>
      </c>
      <c r="C164" s="8">
        <v>5</v>
      </c>
      <c r="D164" s="8">
        <v>2</v>
      </c>
      <c r="E164" s="8">
        <v>1299</v>
      </c>
      <c r="F164" s="8">
        <v>0.15</v>
      </c>
      <c r="G164" s="8">
        <v>2208</v>
      </c>
      <c r="H164" s="8">
        <v>5</v>
      </c>
      <c r="I164" s="8" t="s">
        <v>10</v>
      </c>
      <c r="J164" s="8" t="s">
        <v>11</v>
      </c>
      <c r="K164" s="8">
        <v>1299</v>
      </c>
      <c r="L164" s="8">
        <v>650</v>
      </c>
      <c r="M164" s="8">
        <v>1065</v>
      </c>
      <c r="N164" s="8">
        <v>28</v>
      </c>
      <c r="O164" s="9">
        <v>45716</v>
      </c>
      <c r="P164" s="8" t="s">
        <v>48</v>
      </c>
      <c r="Q164" s="8" t="s">
        <v>42</v>
      </c>
      <c r="R164" s="8">
        <v>0</v>
      </c>
      <c r="S164" s="8">
        <v>28</v>
      </c>
      <c r="T164" s="8" t="s">
        <v>115</v>
      </c>
      <c r="U164" s="8" t="s">
        <v>80</v>
      </c>
      <c r="V164" s="8" t="s">
        <v>81</v>
      </c>
      <c r="W164" s="8" t="s">
        <v>58</v>
      </c>
      <c r="X164" s="10">
        <v>45592</v>
      </c>
    </row>
    <row r="165" spans="1:24" x14ac:dyDescent="0.3">
      <c r="A165" s="11">
        <v>164</v>
      </c>
      <c r="B165" s="11">
        <v>1066</v>
      </c>
      <c r="C165" s="11">
        <v>13</v>
      </c>
      <c r="D165" s="11">
        <v>1</v>
      </c>
      <c r="E165" s="11">
        <v>10999</v>
      </c>
      <c r="F165" s="11">
        <v>0.1</v>
      </c>
      <c r="G165" s="11">
        <v>9899</v>
      </c>
      <c r="H165" s="11">
        <v>13</v>
      </c>
      <c r="I165" s="11" t="s">
        <v>22</v>
      </c>
      <c r="J165" s="11" t="s">
        <v>6</v>
      </c>
      <c r="K165" s="11">
        <v>10999</v>
      </c>
      <c r="L165" s="11">
        <v>7900</v>
      </c>
      <c r="M165" s="11">
        <v>1066</v>
      </c>
      <c r="N165" s="11">
        <v>37</v>
      </c>
      <c r="O165" s="12">
        <v>45805</v>
      </c>
      <c r="P165" s="11" t="s">
        <v>41</v>
      </c>
      <c r="Q165" s="11" t="s">
        <v>49</v>
      </c>
      <c r="R165" s="11">
        <v>1</v>
      </c>
      <c r="S165" s="11">
        <v>37</v>
      </c>
      <c r="T165" s="11" t="s">
        <v>124</v>
      </c>
      <c r="U165" s="11" t="s">
        <v>101</v>
      </c>
      <c r="V165" s="11" t="s">
        <v>78</v>
      </c>
      <c r="W165" s="11" t="s">
        <v>58</v>
      </c>
      <c r="X165" s="13">
        <v>44933</v>
      </c>
    </row>
    <row r="166" spans="1:24" x14ac:dyDescent="0.3">
      <c r="A166" s="8">
        <v>165</v>
      </c>
      <c r="B166" s="8">
        <v>1066</v>
      </c>
      <c r="C166" s="8">
        <v>9</v>
      </c>
      <c r="D166" s="8">
        <v>1</v>
      </c>
      <c r="E166" s="8">
        <v>199</v>
      </c>
      <c r="F166" s="8">
        <v>0</v>
      </c>
      <c r="G166" s="8">
        <v>199</v>
      </c>
      <c r="H166" s="8">
        <v>9</v>
      </c>
      <c r="I166" s="8" t="s">
        <v>17</v>
      </c>
      <c r="J166" s="8" t="s">
        <v>16</v>
      </c>
      <c r="K166" s="8">
        <v>199</v>
      </c>
      <c r="L166" s="8">
        <v>65</v>
      </c>
      <c r="M166" s="8">
        <v>1066</v>
      </c>
      <c r="N166" s="8">
        <v>37</v>
      </c>
      <c r="O166" s="9">
        <v>45805</v>
      </c>
      <c r="P166" s="8" t="s">
        <v>41</v>
      </c>
      <c r="Q166" s="8" t="s">
        <v>49</v>
      </c>
      <c r="R166" s="8">
        <v>1</v>
      </c>
      <c r="S166" s="8">
        <v>37</v>
      </c>
      <c r="T166" s="8" t="s">
        <v>124</v>
      </c>
      <c r="U166" s="8" t="s">
        <v>101</v>
      </c>
      <c r="V166" s="8" t="s">
        <v>78</v>
      </c>
      <c r="W166" s="8" t="s">
        <v>58</v>
      </c>
      <c r="X166" s="10">
        <v>44933</v>
      </c>
    </row>
    <row r="167" spans="1:24" x14ac:dyDescent="0.3">
      <c r="A167" s="11">
        <v>166</v>
      </c>
      <c r="B167" s="11">
        <v>1066</v>
      </c>
      <c r="C167" s="11">
        <v>17</v>
      </c>
      <c r="D167" s="11">
        <v>2</v>
      </c>
      <c r="E167" s="11">
        <v>8499</v>
      </c>
      <c r="F167" s="11">
        <v>0.2</v>
      </c>
      <c r="G167" s="11">
        <v>13598</v>
      </c>
      <c r="H167" s="11">
        <v>17</v>
      </c>
      <c r="I167" s="11" t="s">
        <v>26</v>
      </c>
      <c r="J167" s="11" t="s">
        <v>14</v>
      </c>
      <c r="K167" s="11">
        <v>8499</v>
      </c>
      <c r="L167" s="11">
        <v>6100</v>
      </c>
      <c r="M167" s="11">
        <v>1066</v>
      </c>
      <c r="N167" s="11">
        <v>37</v>
      </c>
      <c r="O167" s="12">
        <v>45805</v>
      </c>
      <c r="P167" s="11" t="s">
        <v>41</v>
      </c>
      <c r="Q167" s="11" t="s">
        <v>49</v>
      </c>
      <c r="R167" s="11">
        <v>1</v>
      </c>
      <c r="S167" s="11">
        <v>37</v>
      </c>
      <c r="T167" s="11" t="s">
        <v>124</v>
      </c>
      <c r="U167" s="11" t="s">
        <v>101</v>
      </c>
      <c r="V167" s="11" t="s">
        <v>78</v>
      </c>
      <c r="W167" s="11" t="s">
        <v>58</v>
      </c>
      <c r="X167" s="13">
        <v>44933</v>
      </c>
    </row>
    <row r="168" spans="1:24" x14ac:dyDescent="0.3">
      <c r="A168" s="8">
        <v>167</v>
      </c>
      <c r="B168" s="8">
        <v>1067</v>
      </c>
      <c r="C168" s="8">
        <v>19</v>
      </c>
      <c r="D168" s="8">
        <v>3</v>
      </c>
      <c r="E168" s="8">
        <v>499</v>
      </c>
      <c r="F168" s="8">
        <v>0.2</v>
      </c>
      <c r="G168" s="8">
        <v>1198</v>
      </c>
      <c r="H168" s="8">
        <v>19</v>
      </c>
      <c r="I168" s="8" t="s">
        <v>28</v>
      </c>
      <c r="J168" s="8" t="s">
        <v>11</v>
      </c>
      <c r="K168" s="8">
        <v>499</v>
      </c>
      <c r="L168" s="8">
        <v>220</v>
      </c>
      <c r="M168" s="8">
        <v>1067</v>
      </c>
      <c r="N168" s="8">
        <v>21</v>
      </c>
      <c r="O168" s="9">
        <v>45967</v>
      </c>
      <c r="P168" s="8" t="s">
        <v>41</v>
      </c>
      <c r="Q168" s="8" t="s">
        <v>46</v>
      </c>
      <c r="R168" s="8">
        <v>1</v>
      </c>
      <c r="S168" s="8">
        <v>21</v>
      </c>
      <c r="T168" s="8" t="s">
        <v>108</v>
      </c>
      <c r="U168" s="8" t="s">
        <v>56</v>
      </c>
      <c r="V168" s="8" t="s">
        <v>57</v>
      </c>
      <c r="W168" s="8" t="s">
        <v>66</v>
      </c>
      <c r="X168" s="10">
        <v>45165</v>
      </c>
    </row>
    <row r="169" spans="1:24" x14ac:dyDescent="0.3">
      <c r="A169" s="11">
        <v>168</v>
      </c>
      <c r="B169" s="11">
        <v>1067</v>
      </c>
      <c r="C169" s="11">
        <v>20</v>
      </c>
      <c r="D169" s="11">
        <v>2</v>
      </c>
      <c r="E169" s="11">
        <v>449</v>
      </c>
      <c r="F169" s="11">
        <v>0.15</v>
      </c>
      <c r="G169" s="11">
        <v>763</v>
      </c>
      <c r="H169" s="11">
        <v>20</v>
      </c>
      <c r="I169" s="11" t="s">
        <v>29</v>
      </c>
      <c r="J169" s="11" t="s">
        <v>16</v>
      </c>
      <c r="K169" s="11">
        <v>449</v>
      </c>
      <c r="L169" s="11">
        <v>180</v>
      </c>
      <c r="M169" s="11">
        <v>1067</v>
      </c>
      <c r="N169" s="11">
        <v>21</v>
      </c>
      <c r="O169" s="12">
        <v>45967</v>
      </c>
      <c r="P169" s="11" t="s">
        <v>41</v>
      </c>
      <c r="Q169" s="11" t="s">
        <v>46</v>
      </c>
      <c r="R169" s="11">
        <v>1</v>
      </c>
      <c r="S169" s="11">
        <v>21</v>
      </c>
      <c r="T169" s="11" t="s">
        <v>108</v>
      </c>
      <c r="U169" s="11" t="s">
        <v>56</v>
      </c>
      <c r="V169" s="11" t="s">
        <v>57</v>
      </c>
      <c r="W169" s="11" t="s">
        <v>66</v>
      </c>
      <c r="X169" s="13">
        <v>45165</v>
      </c>
    </row>
    <row r="170" spans="1:24" x14ac:dyDescent="0.3">
      <c r="A170" s="8">
        <v>169</v>
      </c>
      <c r="B170" s="8">
        <v>1068</v>
      </c>
      <c r="C170" s="8">
        <v>6</v>
      </c>
      <c r="D170" s="8">
        <v>1</v>
      </c>
      <c r="E170" s="8">
        <v>1899</v>
      </c>
      <c r="F170" s="8">
        <v>0.1</v>
      </c>
      <c r="G170" s="8">
        <v>1709</v>
      </c>
      <c r="H170" s="8">
        <v>6</v>
      </c>
      <c r="I170" s="8" t="s">
        <v>12</v>
      </c>
      <c r="J170" s="8" t="s">
        <v>11</v>
      </c>
      <c r="K170" s="8">
        <v>1899</v>
      </c>
      <c r="L170" s="8">
        <v>950</v>
      </c>
      <c r="M170" s="8">
        <v>1068</v>
      </c>
      <c r="N170" s="8">
        <v>3</v>
      </c>
      <c r="O170" s="9">
        <v>45747</v>
      </c>
      <c r="P170" s="8" t="s">
        <v>41</v>
      </c>
      <c r="Q170" s="8" t="s">
        <v>49</v>
      </c>
      <c r="R170" s="8">
        <v>5</v>
      </c>
      <c r="S170" s="8">
        <v>3</v>
      </c>
      <c r="T170" s="8" t="s">
        <v>63</v>
      </c>
      <c r="U170" s="8" t="s">
        <v>64</v>
      </c>
      <c r="V170" s="8" t="s">
        <v>65</v>
      </c>
      <c r="W170" s="8" t="s">
        <v>66</v>
      </c>
      <c r="X170" s="10">
        <v>44952</v>
      </c>
    </row>
    <row r="171" spans="1:24" x14ac:dyDescent="0.3">
      <c r="A171" s="11">
        <v>170</v>
      </c>
      <c r="B171" s="11">
        <v>1068</v>
      </c>
      <c r="C171" s="11">
        <v>19</v>
      </c>
      <c r="D171" s="11">
        <v>3</v>
      </c>
      <c r="E171" s="11">
        <v>499</v>
      </c>
      <c r="F171" s="11">
        <v>0.1</v>
      </c>
      <c r="G171" s="11">
        <v>1347</v>
      </c>
      <c r="H171" s="11">
        <v>19</v>
      </c>
      <c r="I171" s="11" t="s">
        <v>28</v>
      </c>
      <c r="J171" s="11" t="s">
        <v>11</v>
      </c>
      <c r="K171" s="11">
        <v>499</v>
      </c>
      <c r="L171" s="11">
        <v>220</v>
      </c>
      <c r="M171" s="11">
        <v>1068</v>
      </c>
      <c r="N171" s="11">
        <v>3</v>
      </c>
      <c r="O171" s="12">
        <v>45747</v>
      </c>
      <c r="P171" s="11" t="s">
        <v>41</v>
      </c>
      <c r="Q171" s="11" t="s">
        <v>49</v>
      </c>
      <c r="R171" s="11">
        <v>5</v>
      </c>
      <c r="S171" s="11">
        <v>3</v>
      </c>
      <c r="T171" s="11" t="s">
        <v>63</v>
      </c>
      <c r="U171" s="11" t="s">
        <v>64</v>
      </c>
      <c r="V171" s="11" t="s">
        <v>65</v>
      </c>
      <c r="W171" s="11" t="s">
        <v>66</v>
      </c>
      <c r="X171" s="13">
        <v>44952</v>
      </c>
    </row>
    <row r="172" spans="1:24" x14ac:dyDescent="0.3">
      <c r="A172" s="8">
        <v>171</v>
      </c>
      <c r="B172" s="8">
        <v>1068</v>
      </c>
      <c r="C172" s="8">
        <v>14</v>
      </c>
      <c r="D172" s="8">
        <v>1</v>
      </c>
      <c r="E172" s="8">
        <v>2499</v>
      </c>
      <c r="F172" s="8">
        <v>0.05</v>
      </c>
      <c r="G172" s="8">
        <v>2374</v>
      </c>
      <c r="H172" s="8">
        <v>14</v>
      </c>
      <c r="I172" s="8" t="s">
        <v>23</v>
      </c>
      <c r="J172" s="8" t="s">
        <v>6</v>
      </c>
      <c r="K172" s="8">
        <v>2499</v>
      </c>
      <c r="L172" s="8">
        <v>1500</v>
      </c>
      <c r="M172" s="8">
        <v>1068</v>
      </c>
      <c r="N172" s="8">
        <v>3</v>
      </c>
      <c r="O172" s="9">
        <v>45747</v>
      </c>
      <c r="P172" s="8" t="s">
        <v>41</v>
      </c>
      <c r="Q172" s="8" t="s">
        <v>49</v>
      </c>
      <c r="R172" s="8">
        <v>5</v>
      </c>
      <c r="S172" s="8">
        <v>3</v>
      </c>
      <c r="T172" s="8" t="s">
        <v>63</v>
      </c>
      <c r="U172" s="8" t="s">
        <v>64</v>
      </c>
      <c r="V172" s="8" t="s">
        <v>65</v>
      </c>
      <c r="W172" s="8" t="s">
        <v>66</v>
      </c>
      <c r="X172" s="10">
        <v>44952</v>
      </c>
    </row>
    <row r="173" spans="1:24" x14ac:dyDescent="0.3">
      <c r="A173" s="11">
        <v>172</v>
      </c>
      <c r="B173" s="11">
        <v>1069</v>
      </c>
      <c r="C173" s="11">
        <v>14</v>
      </c>
      <c r="D173" s="11">
        <v>2</v>
      </c>
      <c r="E173" s="11">
        <v>2499</v>
      </c>
      <c r="F173" s="11">
        <v>0.1</v>
      </c>
      <c r="G173" s="11">
        <v>4498</v>
      </c>
      <c r="H173" s="11">
        <v>14</v>
      </c>
      <c r="I173" s="11" t="s">
        <v>23</v>
      </c>
      <c r="J173" s="11" t="s">
        <v>6</v>
      </c>
      <c r="K173" s="11">
        <v>2499</v>
      </c>
      <c r="L173" s="11">
        <v>1500</v>
      </c>
      <c r="M173" s="11">
        <v>1069</v>
      </c>
      <c r="N173" s="11">
        <v>21</v>
      </c>
      <c r="O173" s="12">
        <v>46001</v>
      </c>
      <c r="P173" s="11" t="s">
        <v>41</v>
      </c>
      <c r="Q173" s="11" t="s">
        <v>42</v>
      </c>
      <c r="R173" s="11">
        <v>7</v>
      </c>
      <c r="S173" s="11">
        <v>21</v>
      </c>
      <c r="T173" s="11" t="s">
        <v>108</v>
      </c>
      <c r="U173" s="11" t="s">
        <v>56</v>
      </c>
      <c r="V173" s="11" t="s">
        <v>57</v>
      </c>
      <c r="W173" s="11" t="s">
        <v>66</v>
      </c>
      <c r="X173" s="13">
        <v>45165</v>
      </c>
    </row>
    <row r="174" spans="1:24" x14ac:dyDescent="0.3">
      <c r="A174" s="8">
        <v>173</v>
      </c>
      <c r="B174" s="8">
        <v>1069</v>
      </c>
      <c r="C174" s="8">
        <v>16</v>
      </c>
      <c r="D174" s="8">
        <v>2</v>
      </c>
      <c r="E174" s="8">
        <v>1599</v>
      </c>
      <c r="F174" s="8">
        <v>0.15</v>
      </c>
      <c r="G174" s="8">
        <v>2718</v>
      </c>
      <c r="H174" s="8">
        <v>16</v>
      </c>
      <c r="I174" s="8" t="s">
        <v>25</v>
      </c>
      <c r="J174" s="8" t="s">
        <v>6</v>
      </c>
      <c r="K174" s="8">
        <v>1599</v>
      </c>
      <c r="L174" s="8">
        <v>900</v>
      </c>
      <c r="M174" s="8">
        <v>1069</v>
      </c>
      <c r="N174" s="8">
        <v>21</v>
      </c>
      <c r="O174" s="9">
        <v>46001</v>
      </c>
      <c r="P174" s="8" t="s">
        <v>41</v>
      </c>
      <c r="Q174" s="8" t="s">
        <v>42</v>
      </c>
      <c r="R174" s="8">
        <v>7</v>
      </c>
      <c r="S174" s="8">
        <v>21</v>
      </c>
      <c r="T174" s="8" t="s">
        <v>108</v>
      </c>
      <c r="U174" s="8" t="s">
        <v>56</v>
      </c>
      <c r="V174" s="8" t="s">
        <v>57</v>
      </c>
      <c r="W174" s="8" t="s">
        <v>66</v>
      </c>
      <c r="X174" s="10">
        <v>45165</v>
      </c>
    </row>
    <row r="175" spans="1:24" x14ac:dyDescent="0.3">
      <c r="A175" s="11">
        <v>174</v>
      </c>
      <c r="B175" s="11">
        <v>1069</v>
      </c>
      <c r="C175" s="11">
        <v>10</v>
      </c>
      <c r="D175" s="11">
        <v>1</v>
      </c>
      <c r="E175" s="11">
        <v>599</v>
      </c>
      <c r="F175" s="11">
        <v>0</v>
      </c>
      <c r="G175" s="11">
        <v>599</v>
      </c>
      <c r="H175" s="11">
        <v>10</v>
      </c>
      <c r="I175" s="11" t="s">
        <v>18</v>
      </c>
      <c r="J175" s="11" t="s">
        <v>19</v>
      </c>
      <c r="K175" s="11">
        <v>599</v>
      </c>
      <c r="L175" s="11">
        <v>260</v>
      </c>
      <c r="M175" s="11">
        <v>1069</v>
      </c>
      <c r="N175" s="11">
        <v>21</v>
      </c>
      <c r="O175" s="12">
        <v>46001</v>
      </c>
      <c r="P175" s="11" t="s">
        <v>41</v>
      </c>
      <c r="Q175" s="11" t="s">
        <v>42</v>
      </c>
      <c r="R175" s="11">
        <v>7</v>
      </c>
      <c r="S175" s="11">
        <v>21</v>
      </c>
      <c r="T175" s="11" t="s">
        <v>108</v>
      </c>
      <c r="U175" s="11" t="s">
        <v>56</v>
      </c>
      <c r="V175" s="11" t="s">
        <v>57</v>
      </c>
      <c r="W175" s="11" t="s">
        <v>66</v>
      </c>
      <c r="X175" s="13">
        <v>45165</v>
      </c>
    </row>
    <row r="176" spans="1:24" x14ac:dyDescent="0.3">
      <c r="A176" s="8">
        <v>175</v>
      </c>
      <c r="B176" s="8">
        <v>1070</v>
      </c>
      <c r="C176" s="8">
        <v>18</v>
      </c>
      <c r="D176" s="8">
        <v>1</v>
      </c>
      <c r="E176" s="8">
        <v>3299</v>
      </c>
      <c r="F176" s="8">
        <v>0</v>
      </c>
      <c r="G176" s="8">
        <v>3299</v>
      </c>
      <c r="H176" s="8">
        <v>18</v>
      </c>
      <c r="I176" s="8" t="s">
        <v>27</v>
      </c>
      <c r="J176" s="8" t="s">
        <v>19</v>
      </c>
      <c r="K176" s="8">
        <v>3299</v>
      </c>
      <c r="L176" s="8">
        <v>2050</v>
      </c>
      <c r="M176" s="8">
        <v>1070</v>
      </c>
      <c r="N176" s="8">
        <v>21</v>
      </c>
      <c r="O176" s="9">
        <v>45787</v>
      </c>
      <c r="P176" s="8" t="s">
        <v>41</v>
      </c>
      <c r="Q176" s="8" t="s">
        <v>49</v>
      </c>
      <c r="R176" s="8">
        <v>1</v>
      </c>
      <c r="S176" s="8">
        <v>21</v>
      </c>
      <c r="T176" s="8" t="s">
        <v>108</v>
      </c>
      <c r="U176" s="8" t="s">
        <v>56</v>
      </c>
      <c r="V176" s="8" t="s">
        <v>57</v>
      </c>
      <c r="W176" s="8" t="s">
        <v>66</v>
      </c>
      <c r="X176" s="10">
        <v>45165</v>
      </c>
    </row>
    <row r="177" spans="1:24" x14ac:dyDescent="0.3">
      <c r="A177" s="11">
        <v>176</v>
      </c>
      <c r="B177" s="11">
        <v>1071</v>
      </c>
      <c r="C177" s="11">
        <v>2</v>
      </c>
      <c r="D177" s="11">
        <v>2</v>
      </c>
      <c r="E177" s="11">
        <v>2499</v>
      </c>
      <c r="F177" s="11">
        <v>0.1</v>
      </c>
      <c r="G177" s="11">
        <v>4498</v>
      </c>
      <c r="H177" s="11">
        <v>2</v>
      </c>
      <c r="I177" s="11" t="s">
        <v>7</v>
      </c>
      <c r="J177" s="11" t="s">
        <v>6</v>
      </c>
      <c r="K177" s="11">
        <v>2499</v>
      </c>
      <c r="L177" s="11">
        <v>1500</v>
      </c>
      <c r="M177" s="11">
        <v>1071</v>
      </c>
      <c r="N177" s="11">
        <v>13</v>
      </c>
      <c r="O177" s="12">
        <v>45923</v>
      </c>
      <c r="P177" s="11" t="s">
        <v>41</v>
      </c>
      <c r="Q177" s="11" t="s">
        <v>49</v>
      </c>
      <c r="R177" s="11">
        <v>5</v>
      </c>
      <c r="S177" s="11">
        <v>13</v>
      </c>
      <c r="T177" s="11" t="s">
        <v>92</v>
      </c>
      <c r="U177" s="11" t="s">
        <v>93</v>
      </c>
      <c r="V177" s="11" t="s">
        <v>65</v>
      </c>
      <c r="W177" s="11" t="s">
        <v>58</v>
      </c>
      <c r="X177" s="13">
        <v>45485</v>
      </c>
    </row>
    <row r="178" spans="1:24" x14ac:dyDescent="0.3">
      <c r="A178" s="8">
        <v>177</v>
      </c>
      <c r="B178" s="8">
        <v>1071</v>
      </c>
      <c r="C178" s="8">
        <v>7</v>
      </c>
      <c r="D178" s="8">
        <v>2</v>
      </c>
      <c r="E178" s="8">
        <v>999</v>
      </c>
      <c r="F178" s="8">
        <v>0.1</v>
      </c>
      <c r="G178" s="8">
        <v>1798</v>
      </c>
      <c r="H178" s="8">
        <v>7</v>
      </c>
      <c r="I178" s="8" t="s">
        <v>13</v>
      </c>
      <c r="J178" s="8" t="s">
        <v>14</v>
      </c>
      <c r="K178" s="8">
        <v>999</v>
      </c>
      <c r="L178" s="8">
        <v>480</v>
      </c>
      <c r="M178" s="8">
        <v>1071</v>
      </c>
      <c r="N178" s="8">
        <v>13</v>
      </c>
      <c r="O178" s="9">
        <v>45923</v>
      </c>
      <c r="P178" s="8" t="s">
        <v>41</v>
      </c>
      <c r="Q178" s="8" t="s">
        <v>49</v>
      </c>
      <c r="R178" s="8">
        <v>5</v>
      </c>
      <c r="S178" s="8">
        <v>13</v>
      </c>
      <c r="T178" s="8" t="s">
        <v>92</v>
      </c>
      <c r="U178" s="8" t="s">
        <v>93</v>
      </c>
      <c r="V178" s="8" t="s">
        <v>65</v>
      </c>
      <c r="W178" s="8" t="s">
        <v>58</v>
      </c>
      <c r="X178" s="10">
        <v>45485</v>
      </c>
    </row>
    <row r="179" spans="1:24" x14ac:dyDescent="0.3">
      <c r="A179" s="11">
        <v>178</v>
      </c>
      <c r="B179" s="11">
        <v>1071</v>
      </c>
      <c r="C179" s="11">
        <v>9</v>
      </c>
      <c r="D179" s="11">
        <v>1</v>
      </c>
      <c r="E179" s="11">
        <v>199</v>
      </c>
      <c r="F179" s="11">
        <v>0.2</v>
      </c>
      <c r="G179" s="11">
        <v>159</v>
      </c>
      <c r="H179" s="11">
        <v>9</v>
      </c>
      <c r="I179" s="11" t="s">
        <v>17</v>
      </c>
      <c r="J179" s="11" t="s">
        <v>16</v>
      </c>
      <c r="K179" s="11">
        <v>199</v>
      </c>
      <c r="L179" s="11">
        <v>65</v>
      </c>
      <c r="M179" s="11">
        <v>1071</v>
      </c>
      <c r="N179" s="11">
        <v>13</v>
      </c>
      <c r="O179" s="12">
        <v>45923</v>
      </c>
      <c r="P179" s="11" t="s">
        <v>41</v>
      </c>
      <c r="Q179" s="11" t="s">
        <v>49</v>
      </c>
      <c r="R179" s="11">
        <v>5</v>
      </c>
      <c r="S179" s="11">
        <v>13</v>
      </c>
      <c r="T179" s="11" t="s">
        <v>92</v>
      </c>
      <c r="U179" s="11" t="s">
        <v>93</v>
      </c>
      <c r="V179" s="11" t="s">
        <v>65</v>
      </c>
      <c r="W179" s="11" t="s">
        <v>58</v>
      </c>
      <c r="X179" s="13">
        <v>45485</v>
      </c>
    </row>
    <row r="180" spans="1:24" x14ac:dyDescent="0.3">
      <c r="A180" s="8">
        <v>179</v>
      </c>
      <c r="B180" s="8">
        <v>1071</v>
      </c>
      <c r="C180" s="8">
        <v>5</v>
      </c>
      <c r="D180" s="8">
        <v>1</v>
      </c>
      <c r="E180" s="8">
        <v>1299</v>
      </c>
      <c r="F180" s="8">
        <v>0</v>
      </c>
      <c r="G180" s="8">
        <v>1299</v>
      </c>
      <c r="H180" s="8">
        <v>5</v>
      </c>
      <c r="I180" s="8" t="s">
        <v>10</v>
      </c>
      <c r="J180" s="8" t="s">
        <v>11</v>
      </c>
      <c r="K180" s="8">
        <v>1299</v>
      </c>
      <c r="L180" s="8">
        <v>650</v>
      </c>
      <c r="M180" s="8">
        <v>1071</v>
      </c>
      <c r="N180" s="8">
        <v>13</v>
      </c>
      <c r="O180" s="9">
        <v>45923</v>
      </c>
      <c r="P180" s="8" t="s">
        <v>41</v>
      </c>
      <c r="Q180" s="8" t="s">
        <v>49</v>
      </c>
      <c r="R180" s="8">
        <v>5</v>
      </c>
      <c r="S180" s="8">
        <v>13</v>
      </c>
      <c r="T180" s="8" t="s">
        <v>92</v>
      </c>
      <c r="U180" s="8" t="s">
        <v>93</v>
      </c>
      <c r="V180" s="8" t="s">
        <v>65</v>
      </c>
      <c r="W180" s="8" t="s">
        <v>58</v>
      </c>
      <c r="X180" s="10">
        <v>45485</v>
      </c>
    </row>
    <row r="181" spans="1:24" x14ac:dyDescent="0.3">
      <c r="A181" s="11">
        <v>180</v>
      </c>
      <c r="B181" s="11">
        <v>1072</v>
      </c>
      <c r="C181" s="11">
        <v>3</v>
      </c>
      <c r="D181" s="11">
        <v>3</v>
      </c>
      <c r="E181" s="11">
        <v>1799</v>
      </c>
      <c r="F181" s="11">
        <v>0.2</v>
      </c>
      <c r="G181" s="11">
        <v>4318</v>
      </c>
      <c r="H181" s="11">
        <v>3</v>
      </c>
      <c r="I181" s="11" t="s">
        <v>8</v>
      </c>
      <c r="J181" s="11" t="s">
        <v>6</v>
      </c>
      <c r="K181" s="11">
        <v>1799</v>
      </c>
      <c r="L181" s="11">
        <v>980</v>
      </c>
      <c r="M181" s="11">
        <v>1072</v>
      </c>
      <c r="N181" s="11">
        <v>11</v>
      </c>
      <c r="O181" s="12">
        <v>45817</v>
      </c>
      <c r="P181" s="11" t="s">
        <v>48</v>
      </c>
      <c r="Q181" s="11" t="s">
        <v>46</v>
      </c>
      <c r="R181" s="11">
        <v>0</v>
      </c>
      <c r="S181" s="11">
        <v>11</v>
      </c>
      <c r="T181" s="11" t="s">
        <v>88</v>
      </c>
      <c r="U181" s="11" t="s">
        <v>89</v>
      </c>
      <c r="V181" s="11" t="s">
        <v>57</v>
      </c>
      <c r="W181" s="11" t="s">
        <v>62</v>
      </c>
      <c r="X181" s="13">
        <v>45619</v>
      </c>
    </row>
    <row r="182" spans="1:24" x14ac:dyDescent="0.3">
      <c r="A182" s="8">
        <v>181</v>
      </c>
      <c r="B182" s="8">
        <v>1072</v>
      </c>
      <c r="C182" s="8">
        <v>8</v>
      </c>
      <c r="D182" s="8">
        <v>2</v>
      </c>
      <c r="E182" s="8">
        <v>299</v>
      </c>
      <c r="F182" s="8">
        <v>0.1</v>
      </c>
      <c r="G182" s="8">
        <v>538</v>
      </c>
      <c r="H182" s="8">
        <v>8</v>
      </c>
      <c r="I182" s="8" t="s">
        <v>15</v>
      </c>
      <c r="J182" s="8" t="s">
        <v>16</v>
      </c>
      <c r="K182" s="8">
        <v>299</v>
      </c>
      <c r="L182" s="8">
        <v>110</v>
      </c>
      <c r="M182" s="8">
        <v>1072</v>
      </c>
      <c r="N182" s="8">
        <v>11</v>
      </c>
      <c r="O182" s="9">
        <v>45817</v>
      </c>
      <c r="P182" s="8" t="s">
        <v>48</v>
      </c>
      <c r="Q182" s="8" t="s">
        <v>46</v>
      </c>
      <c r="R182" s="8">
        <v>0</v>
      </c>
      <c r="S182" s="8">
        <v>11</v>
      </c>
      <c r="T182" s="8" t="s">
        <v>88</v>
      </c>
      <c r="U182" s="8" t="s">
        <v>89</v>
      </c>
      <c r="V182" s="8" t="s">
        <v>57</v>
      </c>
      <c r="W182" s="8" t="s">
        <v>62</v>
      </c>
      <c r="X182" s="10">
        <v>45619</v>
      </c>
    </row>
    <row r="183" spans="1:24" x14ac:dyDescent="0.3">
      <c r="A183" s="11">
        <v>182</v>
      </c>
      <c r="B183" s="11">
        <v>1072</v>
      </c>
      <c r="C183" s="11">
        <v>4</v>
      </c>
      <c r="D183" s="11">
        <v>3</v>
      </c>
      <c r="E183" s="11">
        <v>2199</v>
      </c>
      <c r="F183" s="11">
        <v>0.05</v>
      </c>
      <c r="G183" s="11">
        <v>6267</v>
      </c>
      <c r="H183" s="11">
        <v>4</v>
      </c>
      <c r="I183" s="11" t="s">
        <v>9</v>
      </c>
      <c r="J183" s="11" t="s">
        <v>6</v>
      </c>
      <c r="K183" s="11">
        <v>2199</v>
      </c>
      <c r="L183" s="11">
        <v>1250</v>
      </c>
      <c r="M183" s="11">
        <v>1072</v>
      </c>
      <c r="N183" s="11">
        <v>11</v>
      </c>
      <c r="O183" s="12">
        <v>45817</v>
      </c>
      <c r="P183" s="11" t="s">
        <v>48</v>
      </c>
      <c r="Q183" s="11" t="s">
        <v>46</v>
      </c>
      <c r="R183" s="11">
        <v>0</v>
      </c>
      <c r="S183" s="11">
        <v>11</v>
      </c>
      <c r="T183" s="11" t="s">
        <v>88</v>
      </c>
      <c r="U183" s="11" t="s">
        <v>89</v>
      </c>
      <c r="V183" s="11" t="s">
        <v>57</v>
      </c>
      <c r="W183" s="11" t="s">
        <v>62</v>
      </c>
      <c r="X183" s="13">
        <v>45619</v>
      </c>
    </row>
    <row r="184" spans="1:24" x14ac:dyDescent="0.3">
      <c r="A184" s="8">
        <v>183</v>
      </c>
      <c r="B184" s="8">
        <v>1072</v>
      </c>
      <c r="C184" s="8">
        <v>15</v>
      </c>
      <c r="D184" s="8">
        <v>1</v>
      </c>
      <c r="E184" s="8">
        <v>349</v>
      </c>
      <c r="F184" s="8">
        <v>0.05</v>
      </c>
      <c r="G184" s="8">
        <v>332</v>
      </c>
      <c r="H184" s="8">
        <v>15</v>
      </c>
      <c r="I184" s="8" t="s">
        <v>24</v>
      </c>
      <c r="J184" s="8" t="s">
        <v>11</v>
      </c>
      <c r="K184" s="8">
        <v>349</v>
      </c>
      <c r="L184" s="8">
        <v>120</v>
      </c>
      <c r="M184" s="8">
        <v>1072</v>
      </c>
      <c r="N184" s="8">
        <v>11</v>
      </c>
      <c r="O184" s="9">
        <v>45817</v>
      </c>
      <c r="P184" s="8" t="s">
        <v>48</v>
      </c>
      <c r="Q184" s="8" t="s">
        <v>46</v>
      </c>
      <c r="R184" s="8">
        <v>0</v>
      </c>
      <c r="S184" s="8">
        <v>11</v>
      </c>
      <c r="T184" s="8" t="s">
        <v>88</v>
      </c>
      <c r="U184" s="8" t="s">
        <v>89</v>
      </c>
      <c r="V184" s="8" t="s">
        <v>57</v>
      </c>
      <c r="W184" s="8" t="s">
        <v>62</v>
      </c>
      <c r="X184" s="10">
        <v>45619</v>
      </c>
    </row>
    <row r="185" spans="1:24" x14ac:dyDescent="0.3">
      <c r="A185" s="11">
        <v>184</v>
      </c>
      <c r="B185" s="11">
        <v>1073</v>
      </c>
      <c r="C185" s="11">
        <v>13</v>
      </c>
      <c r="D185" s="11">
        <v>2</v>
      </c>
      <c r="E185" s="11">
        <v>10999</v>
      </c>
      <c r="F185" s="11">
        <v>0.15</v>
      </c>
      <c r="G185" s="11">
        <v>18698</v>
      </c>
      <c r="H185" s="11">
        <v>13</v>
      </c>
      <c r="I185" s="11" t="s">
        <v>22</v>
      </c>
      <c r="J185" s="11" t="s">
        <v>6</v>
      </c>
      <c r="K185" s="11">
        <v>10999</v>
      </c>
      <c r="L185" s="11">
        <v>7900</v>
      </c>
      <c r="M185" s="11">
        <v>1073</v>
      </c>
      <c r="N185" s="11">
        <v>27</v>
      </c>
      <c r="O185" s="12">
        <v>45905</v>
      </c>
      <c r="P185" s="11" t="s">
        <v>41</v>
      </c>
      <c r="Q185" s="11" t="s">
        <v>49</v>
      </c>
      <c r="R185" s="11">
        <v>2</v>
      </c>
      <c r="S185" s="11">
        <v>27</v>
      </c>
      <c r="T185" s="11" t="s">
        <v>114</v>
      </c>
      <c r="U185" s="11" t="s">
        <v>77</v>
      </c>
      <c r="V185" s="11" t="s">
        <v>78</v>
      </c>
      <c r="W185" s="11" t="s">
        <v>66</v>
      </c>
      <c r="X185" s="13">
        <v>45660</v>
      </c>
    </row>
    <row r="186" spans="1:24" x14ac:dyDescent="0.3">
      <c r="A186" s="8">
        <v>185</v>
      </c>
      <c r="B186" s="8">
        <v>1073</v>
      </c>
      <c r="C186" s="8">
        <v>7</v>
      </c>
      <c r="D186" s="8">
        <v>2</v>
      </c>
      <c r="E186" s="8">
        <v>999</v>
      </c>
      <c r="F186" s="8">
        <v>0</v>
      </c>
      <c r="G186" s="8">
        <v>1998</v>
      </c>
      <c r="H186" s="8">
        <v>7</v>
      </c>
      <c r="I186" s="8" t="s">
        <v>13</v>
      </c>
      <c r="J186" s="8" t="s">
        <v>14</v>
      </c>
      <c r="K186" s="8">
        <v>999</v>
      </c>
      <c r="L186" s="8">
        <v>480</v>
      </c>
      <c r="M186" s="8">
        <v>1073</v>
      </c>
      <c r="N186" s="8">
        <v>27</v>
      </c>
      <c r="O186" s="9">
        <v>45905</v>
      </c>
      <c r="P186" s="8" t="s">
        <v>41</v>
      </c>
      <c r="Q186" s="8" t="s">
        <v>49</v>
      </c>
      <c r="R186" s="8">
        <v>2</v>
      </c>
      <c r="S186" s="8">
        <v>27</v>
      </c>
      <c r="T186" s="8" t="s">
        <v>114</v>
      </c>
      <c r="U186" s="8" t="s">
        <v>77</v>
      </c>
      <c r="V186" s="8" t="s">
        <v>78</v>
      </c>
      <c r="W186" s="8" t="s">
        <v>66</v>
      </c>
      <c r="X186" s="10">
        <v>45660</v>
      </c>
    </row>
    <row r="187" spans="1:24" x14ac:dyDescent="0.3">
      <c r="A187" s="11">
        <v>186</v>
      </c>
      <c r="B187" s="11">
        <v>1074</v>
      </c>
      <c r="C187" s="11">
        <v>17</v>
      </c>
      <c r="D187" s="11">
        <v>1</v>
      </c>
      <c r="E187" s="11">
        <v>8499</v>
      </c>
      <c r="F187" s="11">
        <v>0.05</v>
      </c>
      <c r="G187" s="11">
        <v>8074</v>
      </c>
      <c r="H187" s="11">
        <v>17</v>
      </c>
      <c r="I187" s="11" t="s">
        <v>26</v>
      </c>
      <c r="J187" s="11" t="s">
        <v>14</v>
      </c>
      <c r="K187" s="11">
        <v>8499</v>
      </c>
      <c r="L187" s="11">
        <v>6100</v>
      </c>
      <c r="M187" s="11">
        <v>1074</v>
      </c>
      <c r="N187" s="11">
        <v>5</v>
      </c>
      <c r="O187" s="12">
        <v>45799</v>
      </c>
      <c r="P187" s="11" t="s">
        <v>47</v>
      </c>
      <c r="Q187" s="11" t="s">
        <v>49</v>
      </c>
      <c r="R187" s="11">
        <v>0</v>
      </c>
      <c r="S187" s="11">
        <v>5</v>
      </c>
      <c r="T187" s="11" t="s">
        <v>70</v>
      </c>
      <c r="U187" s="11" t="s">
        <v>71</v>
      </c>
      <c r="V187" s="11" t="s">
        <v>72</v>
      </c>
      <c r="W187" s="11" t="s">
        <v>62</v>
      </c>
      <c r="X187" s="13">
        <v>45208</v>
      </c>
    </row>
    <row r="188" spans="1:24" x14ac:dyDescent="0.3">
      <c r="A188" s="8">
        <v>187</v>
      </c>
      <c r="B188" s="8">
        <v>1074</v>
      </c>
      <c r="C188" s="8">
        <v>9</v>
      </c>
      <c r="D188" s="8">
        <v>2</v>
      </c>
      <c r="E188" s="8">
        <v>199</v>
      </c>
      <c r="F188" s="8">
        <v>0.15</v>
      </c>
      <c r="G188" s="8">
        <v>338</v>
      </c>
      <c r="H188" s="8">
        <v>9</v>
      </c>
      <c r="I188" s="8" t="s">
        <v>17</v>
      </c>
      <c r="J188" s="8" t="s">
        <v>16</v>
      </c>
      <c r="K188" s="8">
        <v>199</v>
      </c>
      <c r="L188" s="8">
        <v>65</v>
      </c>
      <c r="M188" s="8">
        <v>1074</v>
      </c>
      <c r="N188" s="8">
        <v>5</v>
      </c>
      <c r="O188" s="9">
        <v>45799</v>
      </c>
      <c r="P188" s="8" t="s">
        <v>47</v>
      </c>
      <c r="Q188" s="8" t="s">
        <v>49</v>
      </c>
      <c r="R188" s="8">
        <v>0</v>
      </c>
      <c r="S188" s="8">
        <v>5</v>
      </c>
      <c r="T188" s="8" t="s">
        <v>70</v>
      </c>
      <c r="U188" s="8" t="s">
        <v>71</v>
      </c>
      <c r="V188" s="8" t="s">
        <v>72</v>
      </c>
      <c r="W188" s="8" t="s">
        <v>62</v>
      </c>
      <c r="X188" s="10">
        <v>45208</v>
      </c>
    </row>
    <row r="189" spans="1:24" x14ac:dyDescent="0.3">
      <c r="A189" s="11">
        <v>188</v>
      </c>
      <c r="B189" s="11">
        <v>1074</v>
      </c>
      <c r="C189" s="11">
        <v>1</v>
      </c>
      <c r="D189" s="11">
        <v>3</v>
      </c>
      <c r="E189" s="11">
        <v>799</v>
      </c>
      <c r="F189" s="11">
        <v>0.1</v>
      </c>
      <c r="G189" s="11">
        <v>2157</v>
      </c>
      <c r="H189" s="11">
        <v>1</v>
      </c>
      <c r="I189" s="11" t="s">
        <v>5</v>
      </c>
      <c r="J189" s="11" t="s">
        <v>6</v>
      </c>
      <c r="K189" s="11">
        <v>799</v>
      </c>
      <c r="L189" s="11">
        <v>420</v>
      </c>
      <c r="M189" s="11">
        <v>1074</v>
      </c>
      <c r="N189" s="11">
        <v>5</v>
      </c>
      <c r="O189" s="12">
        <v>45799</v>
      </c>
      <c r="P189" s="11" t="s">
        <v>47</v>
      </c>
      <c r="Q189" s="11" t="s">
        <v>49</v>
      </c>
      <c r="R189" s="11">
        <v>0</v>
      </c>
      <c r="S189" s="11">
        <v>5</v>
      </c>
      <c r="T189" s="11" t="s">
        <v>70</v>
      </c>
      <c r="U189" s="11" t="s">
        <v>71</v>
      </c>
      <c r="V189" s="11" t="s">
        <v>72</v>
      </c>
      <c r="W189" s="11" t="s">
        <v>62</v>
      </c>
      <c r="X189" s="13">
        <v>45208</v>
      </c>
    </row>
    <row r="190" spans="1:24" x14ac:dyDescent="0.3">
      <c r="A190" s="8">
        <v>189</v>
      </c>
      <c r="B190" s="8">
        <v>1075</v>
      </c>
      <c r="C190" s="8">
        <v>11</v>
      </c>
      <c r="D190" s="8">
        <v>1</v>
      </c>
      <c r="E190" s="8">
        <v>1099</v>
      </c>
      <c r="F190" s="8">
        <v>0.05</v>
      </c>
      <c r="G190" s="8">
        <v>1044</v>
      </c>
      <c r="H190" s="8">
        <v>11</v>
      </c>
      <c r="I190" s="8" t="s">
        <v>20</v>
      </c>
      <c r="J190" s="8" t="s">
        <v>19</v>
      </c>
      <c r="K190" s="8">
        <v>1099</v>
      </c>
      <c r="L190" s="8">
        <v>570</v>
      </c>
      <c r="M190" s="8">
        <v>1075</v>
      </c>
      <c r="N190" s="8">
        <v>10</v>
      </c>
      <c r="O190" s="9">
        <v>45886</v>
      </c>
      <c r="P190" s="8" t="s">
        <v>48</v>
      </c>
      <c r="Q190" s="8" t="s">
        <v>49</v>
      </c>
      <c r="R190" s="8">
        <v>0</v>
      </c>
      <c r="S190" s="8">
        <v>10</v>
      </c>
      <c r="T190" s="8" t="s">
        <v>85</v>
      </c>
      <c r="U190" s="8" t="s">
        <v>86</v>
      </c>
      <c r="V190" s="8" t="s">
        <v>87</v>
      </c>
      <c r="W190" s="8" t="s">
        <v>58</v>
      </c>
      <c r="X190" s="10">
        <v>45031</v>
      </c>
    </row>
    <row r="191" spans="1:24" x14ac:dyDescent="0.3">
      <c r="A191" s="11">
        <v>190</v>
      </c>
      <c r="B191" s="11">
        <v>1075</v>
      </c>
      <c r="C191" s="11">
        <v>18</v>
      </c>
      <c r="D191" s="11">
        <v>2</v>
      </c>
      <c r="E191" s="11">
        <v>3299</v>
      </c>
      <c r="F191" s="11">
        <v>0.2</v>
      </c>
      <c r="G191" s="11">
        <v>5278</v>
      </c>
      <c r="H191" s="11">
        <v>18</v>
      </c>
      <c r="I191" s="11" t="s">
        <v>27</v>
      </c>
      <c r="J191" s="11" t="s">
        <v>19</v>
      </c>
      <c r="K191" s="11">
        <v>3299</v>
      </c>
      <c r="L191" s="11">
        <v>2050</v>
      </c>
      <c r="M191" s="11">
        <v>1075</v>
      </c>
      <c r="N191" s="11">
        <v>10</v>
      </c>
      <c r="O191" s="12">
        <v>45886</v>
      </c>
      <c r="P191" s="11" t="s">
        <v>48</v>
      </c>
      <c r="Q191" s="11" t="s">
        <v>49</v>
      </c>
      <c r="R191" s="11">
        <v>0</v>
      </c>
      <c r="S191" s="11">
        <v>10</v>
      </c>
      <c r="T191" s="11" t="s">
        <v>85</v>
      </c>
      <c r="U191" s="11" t="s">
        <v>86</v>
      </c>
      <c r="V191" s="11" t="s">
        <v>87</v>
      </c>
      <c r="W191" s="11" t="s">
        <v>58</v>
      </c>
      <c r="X191" s="13">
        <v>45031</v>
      </c>
    </row>
    <row r="192" spans="1:24" x14ac:dyDescent="0.3">
      <c r="A192" s="8">
        <v>191</v>
      </c>
      <c r="B192" s="8">
        <v>1075</v>
      </c>
      <c r="C192" s="8">
        <v>19</v>
      </c>
      <c r="D192" s="8">
        <v>1</v>
      </c>
      <c r="E192" s="8">
        <v>499</v>
      </c>
      <c r="F192" s="8">
        <v>0.1</v>
      </c>
      <c r="G192" s="8">
        <v>449</v>
      </c>
      <c r="H192" s="8">
        <v>19</v>
      </c>
      <c r="I192" s="8" t="s">
        <v>28</v>
      </c>
      <c r="J192" s="8" t="s">
        <v>11</v>
      </c>
      <c r="K192" s="8">
        <v>499</v>
      </c>
      <c r="L192" s="8">
        <v>220</v>
      </c>
      <c r="M192" s="8">
        <v>1075</v>
      </c>
      <c r="N192" s="8">
        <v>10</v>
      </c>
      <c r="O192" s="9">
        <v>45886</v>
      </c>
      <c r="P192" s="8" t="s">
        <v>48</v>
      </c>
      <c r="Q192" s="8" t="s">
        <v>49</v>
      </c>
      <c r="R192" s="8">
        <v>0</v>
      </c>
      <c r="S192" s="8">
        <v>10</v>
      </c>
      <c r="T192" s="8" t="s">
        <v>85</v>
      </c>
      <c r="U192" s="8" t="s">
        <v>86</v>
      </c>
      <c r="V192" s="8" t="s">
        <v>87</v>
      </c>
      <c r="W192" s="8" t="s">
        <v>58</v>
      </c>
      <c r="X192" s="10">
        <v>45031</v>
      </c>
    </row>
    <row r="193" spans="1:24" x14ac:dyDescent="0.3">
      <c r="A193" s="11">
        <v>192</v>
      </c>
      <c r="B193" s="11">
        <v>1076</v>
      </c>
      <c r="C193" s="11">
        <v>13</v>
      </c>
      <c r="D193" s="11">
        <v>1</v>
      </c>
      <c r="E193" s="11">
        <v>10999</v>
      </c>
      <c r="F193" s="11">
        <v>0.15</v>
      </c>
      <c r="G193" s="11">
        <v>9349</v>
      </c>
      <c r="H193" s="11">
        <v>13</v>
      </c>
      <c r="I193" s="11" t="s">
        <v>22</v>
      </c>
      <c r="J193" s="11" t="s">
        <v>6</v>
      </c>
      <c r="K193" s="11">
        <v>10999</v>
      </c>
      <c r="L193" s="11">
        <v>7900</v>
      </c>
      <c r="M193" s="11">
        <v>1076</v>
      </c>
      <c r="N193" s="11">
        <v>15</v>
      </c>
      <c r="O193" s="12">
        <v>45868</v>
      </c>
      <c r="P193" s="11" t="s">
        <v>41</v>
      </c>
      <c r="Q193" s="11" t="s">
        <v>49</v>
      </c>
      <c r="R193" s="11">
        <v>3</v>
      </c>
      <c r="S193" s="11">
        <v>15</v>
      </c>
      <c r="T193" s="11" t="s">
        <v>96</v>
      </c>
      <c r="U193" s="11" t="s">
        <v>97</v>
      </c>
      <c r="V193" s="11" t="s">
        <v>72</v>
      </c>
      <c r="W193" s="11" t="s">
        <v>66</v>
      </c>
      <c r="X193" s="13">
        <v>45531</v>
      </c>
    </row>
    <row r="194" spans="1:24" x14ac:dyDescent="0.3">
      <c r="A194" s="8">
        <v>193</v>
      </c>
      <c r="B194" s="8">
        <v>1076</v>
      </c>
      <c r="C194" s="8">
        <v>5</v>
      </c>
      <c r="D194" s="8">
        <v>1</v>
      </c>
      <c r="E194" s="8">
        <v>1299</v>
      </c>
      <c r="F194" s="8">
        <v>0</v>
      </c>
      <c r="G194" s="8">
        <v>1299</v>
      </c>
      <c r="H194" s="8">
        <v>5</v>
      </c>
      <c r="I194" s="8" t="s">
        <v>10</v>
      </c>
      <c r="J194" s="8" t="s">
        <v>11</v>
      </c>
      <c r="K194" s="8">
        <v>1299</v>
      </c>
      <c r="L194" s="8">
        <v>650</v>
      </c>
      <c r="M194" s="8">
        <v>1076</v>
      </c>
      <c r="N194" s="8">
        <v>15</v>
      </c>
      <c r="O194" s="9">
        <v>45868</v>
      </c>
      <c r="P194" s="8" t="s">
        <v>41</v>
      </c>
      <c r="Q194" s="8" t="s">
        <v>49</v>
      </c>
      <c r="R194" s="8">
        <v>3</v>
      </c>
      <c r="S194" s="8">
        <v>15</v>
      </c>
      <c r="T194" s="8" t="s">
        <v>96</v>
      </c>
      <c r="U194" s="8" t="s">
        <v>97</v>
      </c>
      <c r="V194" s="8" t="s">
        <v>72</v>
      </c>
      <c r="W194" s="8" t="s">
        <v>66</v>
      </c>
      <c r="X194" s="10">
        <v>45531</v>
      </c>
    </row>
    <row r="195" spans="1:24" x14ac:dyDescent="0.3">
      <c r="A195" s="11">
        <v>194</v>
      </c>
      <c r="B195" s="11">
        <v>1076</v>
      </c>
      <c r="C195" s="11">
        <v>16</v>
      </c>
      <c r="D195" s="11">
        <v>2</v>
      </c>
      <c r="E195" s="11">
        <v>1599</v>
      </c>
      <c r="F195" s="11">
        <v>0.1</v>
      </c>
      <c r="G195" s="11">
        <v>2878</v>
      </c>
      <c r="H195" s="11">
        <v>16</v>
      </c>
      <c r="I195" s="11" t="s">
        <v>25</v>
      </c>
      <c r="J195" s="11" t="s">
        <v>6</v>
      </c>
      <c r="K195" s="11">
        <v>1599</v>
      </c>
      <c r="L195" s="11">
        <v>900</v>
      </c>
      <c r="M195" s="11">
        <v>1076</v>
      </c>
      <c r="N195" s="11">
        <v>15</v>
      </c>
      <c r="O195" s="12">
        <v>45868</v>
      </c>
      <c r="P195" s="11" t="s">
        <v>41</v>
      </c>
      <c r="Q195" s="11" t="s">
        <v>49</v>
      </c>
      <c r="R195" s="11">
        <v>3</v>
      </c>
      <c r="S195" s="11">
        <v>15</v>
      </c>
      <c r="T195" s="11" t="s">
        <v>96</v>
      </c>
      <c r="U195" s="11" t="s">
        <v>97</v>
      </c>
      <c r="V195" s="11" t="s">
        <v>72</v>
      </c>
      <c r="W195" s="11" t="s">
        <v>66</v>
      </c>
      <c r="X195" s="13">
        <v>45531</v>
      </c>
    </row>
    <row r="196" spans="1:24" x14ac:dyDescent="0.3">
      <c r="A196" s="8">
        <v>195</v>
      </c>
      <c r="B196" s="8">
        <v>1076</v>
      </c>
      <c r="C196" s="8">
        <v>2</v>
      </c>
      <c r="D196" s="8">
        <v>1</v>
      </c>
      <c r="E196" s="8">
        <v>2499</v>
      </c>
      <c r="F196" s="8">
        <v>0.1</v>
      </c>
      <c r="G196" s="8">
        <v>2249</v>
      </c>
      <c r="H196" s="8">
        <v>2</v>
      </c>
      <c r="I196" s="8" t="s">
        <v>7</v>
      </c>
      <c r="J196" s="8" t="s">
        <v>6</v>
      </c>
      <c r="K196" s="8">
        <v>2499</v>
      </c>
      <c r="L196" s="8">
        <v>1500</v>
      </c>
      <c r="M196" s="8">
        <v>1076</v>
      </c>
      <c r="N196" s="8">
        <v>15</v>
      </c>
      <c r="O196" s="9">
        <v>45868</v>
      </c>
      <c r="P196" s="8" t="s">
        <v>41</v>
      </c>
      <c r="Q196" s="8" t="s">
        <v>49</v>
      </c>
      <c r="R196" s="8">
        <v>3</v>
      </c>
      <c r="S196" s="8">
        <v>15</v>
      </c>
      <c r="T196" s="8" t="s">
        <v>96</v>
      </c>
      <c r="U196" s="8" t="s">
        <v>97</v>
      </c>
      <c r="V196" s="8" t="s">
        <v>72</v>
      </c>
      <c r="W196" s="8" t="s">
        <v>66</v>
      </c>
      <c r="X196" s="10">
        <v>45531</v>
      </c>
    </row>
    <row r="197" spans="1:24" x14ac:dyDescent="0.3">
      <c r="A197" s="11">
        <v>196</v>
      </c>
      <c r="B197" s="11">
        <v>1077</v>
      </c>
      <c r="C197" s="11">
        <v>16</v>
      </c>
      <c r="D197" s="11">
        <v>2</v>
      </c>
      <c r="E197" s="11">
        <v>1599</v>
      </c>
      <c r="F197" s="11">
        <v>0.05</v>
      </c>
      <c r="G197" s="11">
        <v>3038</v>
      </c>
      <c r="H197" s="11">
        <v>16</v>
      </c>
      <c r="I197" s="11" t="s">
        <v>25</v>
      </c>
      <c r="J197" s="11" t="s">
        <v>6</v>
      </c>
      <c r="K197" s="11">
        <v>1599</v>
      </c>
      <c r="L197" s="11">
        <v>900</v>
      </c>
      <c r="M197" s="11">
        <v>1077</v>
      </c>
      <c r="N197" s="11">
        <v>1</v>
      </c>
      <c r="O197" s="12">
        <v>45731</v>
      </c>
      <c r="P197" s="11" t="s">
        <v>41</v>
      </c>
      <c r="Q197" s="11" t="s">
        <v>42</v>
      </c>
      <c r="R197" s="11">
        <v>7</v>
      </c>
      <c r="S197" s="11">
        <v>1</v>
      </c>
      <c r="T197" s="11" t="s">
        <v>55</v>
      </c>
      <c r="U197" s="11" t="s">
        <v>56</v>
      </c>
      <c r="V197" s="11" t="s">
        <v>57</v>
      </c>
      <c r="W197" s="11" t="s">
        <v>58</v>
      </c>
      <c r="X197" s="13">
        <v>45581</v>
      </c>
    </row>
    <row r="198" spans="1:24" x14ac:dyDescent="0.3">
      <c r="A198" s="8">
        <v>197</v>
      </c>
      <c r="B198" s="8">
        <v>1078</v>
      </c>
      <c r="C198" s="8">
        <v>18</v>
      </c>
      <c r="D198" s="8">
        <v>1</v>
      </c>
      <c r="E198" s="8">
        <v>3299</v>
      </c>
      <c r="F198" s="8">
        <v>0.1</v>
      </c>
      <c r="G198" s="8">
        <v>2969</v>
      </c>
      <c r="H198" s="8">
        <v>18</v>
      </c>
      <c r="I198" s="8" t="s">
        <v>27</v>
      </c>
      <c r="J198" s="8" t="s">
        <v>19</v>
      </c>
      <c r="K198" s="8">
        <v>3299</v>
      </c>
      <c r="L198" s="8">
        <v>2050</v>
      </c>
      <c r="M198" s="8">
        <v>1078</v>
      </c>
      <c r="N198" s="8">
        <v>22</v>
      </c>
      <c r="O198" s="9">
        <v>45977</v>
      </c>
      <c r="P198" s="8" t="s">
        <v>44</v>
      </c>
      <c r="Q198" s="8" t="s">
        <v>46</v>
      </c>
      <c r="R198" s="8">
        <v>4</v>
      </c>
      <c r="S198" s="8">
        <v>22</v>
      </c>
      <c r="T198" s="8" t="s">
        <v>109</v>
      </c>
      <c r="U198" s="8" t="s">
        <v>60</v>
      </c>
      <c r="V198" s="8" t="s">
        <v>61</v>
      </c>
      <c r="W198" s="8" t="s">
        <v>58</v>
      </c>
      <c r="X198" s="10">
        <v>45444</v>
      </c>
    </row>
    <row r="199" spans="1:24" x14ac:dyDescent="0.3">
      <c r="A199" s="11">
        <v>198</v>
      </c>
      <c r="B199" s="11">
        <v>1078</v>
      </c>
      <c r="C199" s="11">
        <v>13</v>
      </c>
      <c r="D199" s="11">
        <v>2</v>
      </c>
      <c r="E199" s="11">
        <v>10999</v>
      </c>
      <c r="F199" s="11">
        <v>0</v>
      </c>
      <c r="G199" s="11">
        <v>21998</v>
      </c>
      <c r="H199" s="11">
        <v>13</v>
      </c>
      <c r="I199" s="11" t="s">
        <v>22</v>
      </c>
      <c r="J199" s="11" t="s">
        <v>6</v>
      </c>
      <c r="K199" s="11">
        <v>10999</v>
      </c>
      <c r="L199" s="11">
        <v>7900</v>
      </c>
      <c r="M199" s="11">
        <v>1078</v>
      </c>
      <c r="N199" s="11">
        <v>22</v>
      </c>
      <c r="O199" s="12">
        <v>45977</v>
      </c>
      <c r="P199" s="11" t="s">
        <v>44</v>
      </c>
      <c r="Q199" s="11" t="s">
        <v>46</v>
      </c>
      <c r="R199" s="11">
        <v>4</v>
      </c>
      <c r="S199" s="11">
        <v>22</v>
      </c>
      <c r="T199" s="11" t="s">
        <v>109</v>
      </c>
      <c r="U199" s="11" t="s">
        <v>60</v>
      </c>
      <c r="V199" s="11" t="s">
        <v>61</v>
      </c>
      <c r="W199" s="11" t="s">
        <v>58</v>
      </c>
      <c r="X199" s="13">
        <v>45444</v>
      </c>
    </row>
    <row r="200" spans="1:24" x14ac:dyDescent="0.3">
      <c r="A200" s="8">
        <v>199</v>
      </c>
      <c r="B200" s="8">
        <v>1078</v>
      </c>
      <c r="C200" s="8">
        <v>11</v>
      </c>
      <c r="D200" s="8">
        <v>1</v>
      </c>
      <c r="E200" s="8">
        <v>1099</v>
      </c>
      <c r="F200" s="8">
        <v>0</v>
      </c>
      <c r="G200" s="8">
        <v>1099</v>
      </c>
      <c r="H200" s="8">
        <v>11</v>
      </c>
      <c r="I200" s="8" t="s">
        <v>20</v>
      </c>
      <c r="J200" s="8" t="s">
        <v>19</v>
      </c>
      <c r="K200" s="8">
        <v>1099</v>
      </c>
      <c r="L200" s="8">
        <v>570</v>
      </c>
      <c r="M200" s="8">
        <v>1078</v>
      </c>
      <c r="N200" s="8">
        <v>22</v>
      </c>
      <c r="O200" s="9">
        <v>45977</v>
      </c>
      <c r="P200" s="8" t="s">
        <v>44</v>
      </c>
      <c r="Q200" s="8" t="s">
        <v>46</v>
      </c>
      <c r="R200" s="8">
        <v>4</v>
      </c>
      <c r="S200" s="8">
        <v>22</v>
      </c>
      <c r="T200" s="8" t="s">
        <v>109</v>
      </c>
      <c r="U200" s="8" t="s">
        <v>60</v>
      </c>
      <c r="V200" s="8" t="s">
        <v>61</v>
      </c>
      <c r="W200" s="8" t="s">
        <v>58</v>
      </c>
      <c r="X200" s="10">
        <v>45444</v>
      </c>
    </row>
    <row r="201" spans="1:24" x14ac:dyDescent="0.3">
      <c r="A201" s="11">
        <v>200</v>
      </c>
      <c r="B201" s="11">
        <v>1079</v>
      </c>
      <c r="C201" s="11">
        <v>4</v>
      </c>
      <c r="D201" s="11">
        <v>1</v>
      </c>
      <c r="E201" s="11">
        <v>2199</v>
      </c>
      <c r="F201" s="11">
        <v>0.2</v>
      </c>
      <c r="G201" s="11">
        <v>1759</v>
      </c>
      <c r="H201" s="11">
        <v>4</v>
      </c>
      <c r="I201" s="11" t="s">
        <v>9</v>
      </c>
      <c r="J201" s="11" t="s">
        <v>6</v>
      </c>
      <c r="K201" s="11">
        <v>2199</v>
      </c>
      <c r="L201" s="11">
        <v>1250</v>
      </c>
      <c r="M201" s="11">
        <v>1079</v>
      </c>
      <c r="N201" s="11">
        <v>19</v>
      </c>
      <c r="O201" s="12">
        <v>45774</v>
      </c>
      <c r="P201" s="11" t="s">
        <v>44</v>
      </c>
      <c r="Q201" s="11" t="s">
        <v>49</v>
      </c>
      <c r="R201" s="11">
        <v>1</v>
      </c>
      <c r="S201" s="11">
        <v>19</v>
      </c>
      <c r="T201" s="11" t="s">
        <v>104</v>
      </c>
      <c r="U201" s="11" t="s">
        <v>105</v>
      </c>
      <c r="V201" s="11" t="s">
        <v>84</v>
      </c>
      <c r="W201" s="11" t="s">
        <v>58</v>
      </c>
      <c r="X201" s="13">
        <v>45022</v>
      </c>
    </row>
    <row r="202" spans="1:24" x14ac:dyDescent="0.3">
      <c r="A202" s="8">
        <v>201</v>
      </c>
      <c r="B202" s="8">
        <v>1080</v>
      </c>
      <c r="C202" s="8">
        <v>12</v>
      </c>
      <c r="D202" s="8">
        <v>1</v>
      </c>
      <c r="E202" s="8">
        <v>399</v>
      </c>
      <c r="F202" s="8">
        <v>0.15</v>
      </c>
      <c r="G202" s="8">
        <v>339</v>
      </c>
      <c r="H202" s="8">
        <v>12</v>
      </c>
      <c r="I202" s="8" t="s">
        <v>21</v>
      </c>
      <c r="J202" s="8" t="s">
        <v>14</v>
      </c>
      <c r="K202" s="8">
        <v>399</v>
      </c>
      <c r="L202" s="8">
        <v>140</v>
      </c>
      <c r="M202" s="8">
        <v>1080</v>
      </c>
      <c r="N202" s="8">
        <v>20</v>
      </c>
      <c r="O202" s="9">
        <v>45672</v>
      </c>
      <c r="P202" s="8" t="s">
        <v>41</v>
      </c>
      <c r="Q202" s="8" t="s">
        <v>46</v>
      </c>
      <c r="R202" s="8">
        <v>3</v>
      </c>
      <c r="S202" s="8">
        <v>20</v>
      </c>
      <c r="T202" s="8" t="s">
        <v>106</v>
      </c>
      <c r="U202" s="8" t="s">
        <v>107</v>
      </c>
      <c r="V202" s="8" t="s">
        <v>87</v>
      </c>
      <c r="W202" s="8" t="s">
        <v>62</v>
      </c>
      <c r="X202" s="10">
        <v>45150</v>
      </c>
    </row>
    <row r="203" spans="1:24" x14ac:dyDescent="0.3">
      <c r="A203" s="11">
        <v>202</v>
      </c>
      <c r="B203" s="11">
        <v>1080</v>
      </c>
      <c r="C203" s="11">
        <v>20</v>
      </c>
      <c r="D203" s="11">
        <v>1</v>
      </c>
      <c r="E203" s="11">
        <v>449</v>
      </c>
      <c r="F203" s="11">
        <v>0.2</v>
      </c>
      <c r="G203" s="11">
        <v>359</v>
      </c>
      <c r="H203" s="11">
        <v>20</v>
      </c>
      <c r="I203" s="11" t="s">
        <v>29</v>
      </c>
      <c r="J203" s="11" t="s">
        <v>16</v>
      </c>
      <c r="K203" s="11">
        <v>449</v>
      </c>
      <c r="L203" s="11">
        <v>180</v>
      </c>
      <c r="M203" s="11">
        <v>1080</v>
      </c>
      <c r="N203" s="11">
        <v>20</v>
      </c>
      <c r="O203" s="12">
        <v>45672</v>
      </c>
      <c r="P203" s="11" t="s">
        <v>41</v>
      </c>
      <c r="Q203" s="11" t="s">
        <v>46</v>
      </c>
      <c r="R203" s="11">
        <v>3</v>
      </c>
      <c r="S203" s="11">
        <v>20</v>
      </c>
      <c r="T203" s="11" t="s">
        <v>106</v>
      </c>
      <c r="U203" s="11" t="s">
        <v>107</v>
      </c>
      <c r="V203" s="11" t="s">
        <v>87</v>
      </c>
      <c r="W203" s="11" t="s">
        <v>62</v>
      </c>
      <c r="X203" s="13">
        <v>45150</v>
      </c>
    </row>
    <row r="204" spans="1:24" x14ac:dyDescent="0.3">
      <c r="A204" s="8">
        <v>203</v>
      </c>
      <c r="B204" s="8">
        <v>1080</v>
      </c>
      <c r="C204" s="8">
        <v>14</v>
      </c>
      <c r="D204" s="8">
        <v>2</v>
      </c>
      <c r="E204" s="8">
        <v>2499</v>
      </c>
      <c r="F204" s="8">
        <v>0</v>
      </c>
      <c r="G204" s="8">
        <v>4998</v>
      </c>
      <c r="H204" s="8">
        <v>14</v>
      </c>
      <c r="I204" s="8" t="s">
        <v>23</v>
      </c>
      <c r="J204" s="8" t="s">
        <v>6</v>
      </c>
      <c r="K204" s="8">
        <v>2499</v>
      </c>
      <c r="L204" s="8">
        <v>1500</v>
      </c>
      <c r="M204" s="8">
        <v>1080</v>
      </c>
      <c r="N204" s="8">
        <v>20</v>
      </c>
      <c r="O204" s="9">
        <v>45672</v>
      </c>
      <c r="P204" s="8" t="s">
        <v>41</v>
      </c>
      <c r="Q204" s="8" t="s">
        <v>46</v>
      </c>
      <c r="R204" s="8">
        <v>3</v>
      </c>
      <c r="S204" s="8">
        <v>20</v>
      </c>
      <c r="T204" s="8" t="s">
        <v>106</v>
      </c>
      <c r="U204" s="8" t="s">
        <v>107</v>
      </c>
      <c r="V204" s="8" t="s">
        <v>87</v>
      </c>
      <c r="W204" s="8" t="s">
        <v>62</v>
      </c>
      <c r="X204" s="10">
        <v>45150</v>
      </c>
    </row>
    <row r="205" spans="1:24" x14ac:dyDescent="0.3">
      <c r="A205" s="11">
        <v>204</v>
      </c>
      <c r="B205" s="11">
        <v>1081</v>
      </c>
      <c r="C205" s="11">
        <v>16</v>
      </c>
      <c r="D205" s="11">
        <v>1</v>
      </c>
      <c r="E205" s="11">
        <v>1599</v>
      </c>
      <c r="F205" s="11">
        <v>0.1</v>
      </c>
      <c r="G205" s="11">
        <v>1439</v>
      </c>
      <c r="H205" s="11">
        <v>16</v>
      </c>
      <c r="I205" s="11" t="s">
        <v>25</v>
      </c>
      <c r="J205" s="11" t="s">
        <v>6</v>
      </c>
      <c r="K205" s="11">
        <v>1599</v>
      </c>
      <c r="L205" s="11">
        <v>900</v>
      </c>
      <c r="M205" s="11">
        <v>1081</v>
      </c>
      <c r="N205" s="11">
        <v>12</v>
      </c>
      <c r="O205" s="12">
        <v>45698</v>
      </c>
      <c r="P205" s="11" t="s">
        <v>48</v>
      </c>
      <c r="Q205" s="11" t="s">
        <v>49</v>
      </c>
      <c r="R205" s="11">
        <v>0</v>
      </c>
      <c r="S205" s="11">
        <v>12</v>
      </c>
      <c r="T205" s="11" t="s">
        <v>90</v>
      </c>
      <c r="U205" s="11" t="s">
        <v>91</v>
      </c>
      <c r="V205" s="11" t="s">
        <v>61</v>
      </c>
      <c r="W205" s="11" t="s">
        <v>66</v>
      </c>
      <c r="X205" s="13">
        <v>45685</v>
      </c>
    </row>
    <row r="206" spans="1:24" x14ac:dyDescent="0.3">
      <c r="A206" s="8">
        <v>205</v>
      </c>
      <c r="B206" s="8">
        <v>1081</v>
      </c>
      <c r="C206" s="8">
        <v>19</v>
      </c>
      <c r="D206" s="8">
        <v>1</v>
      </c>
      <c r="E206" s="8">
        <v>499</v>
      </c>
      <c r="F206" s="8">
        <v>0.1</v>
      </c>
      <c r="G206" s="8">
        <v>449</v>
      </c>
      <c r="H206" s="8">
        <v>19</v>
      </c>
      <c r="I206" s="8" t="s">
        <v>28</v>
      </c>
      <c r="J206" s="8" t="s">
        <v>11</v>
      </c>
      <c r="K206" s="8">
        <v>499</v>
      </c>
      <c r="L206" s="8">
        <v>220</v>
      </c>
      <c r="M206" s="8">
        <v>1081</v>
      </c>
      <c r="N206" s="8">
        <v>12</v>
      </c>
      <c r="O206" s="9">
        <v>45698</v>
      </c>
      <c r="P206" s="8" t="s">
        <v>48</v>
      </c>
      <c r="Q206" s="8" t="s">
        <v>49</v>
      </c>
      <c r="R206" s="8">
        <v>0</v>
      </c>
      <c r="S206" s="8">
        <v>12</v>
      </c>
      <c r="T206" s="8" t="s">
        <v>90</v>
      </c>
      <c r="U206" s="8" t="s">
        <v>91</v>
      </c>
      <c r="V206" s="8" t="s">
        <v>61</v>
      </c>
      <c r="W206" s="8" t="s">
        <v>66</v>
      </c>
      <c r="X206" s="10">
        <v>45685</v>
      </c>
    </row>
    <row r="207" spans="1:24" x14ac:dyDescent="0.3">
      <c r="A207" s="11">
        <v>206</v>
      </c>
      <c r="B207" s="11">
        <v>1082</v>
      </c>
      <c r="C207" s="11">
        <v>18</v>
      </c>
      <c r="D207" s="11">
        <v>1</v>
      </c>
      <c r="E207" s="11">
        <v>3299</v>
      </c>
      <c r="F207" s="11">
        <v>0.05</v>
      </c>
      <c r="G207" s="11">
        <v>3134</v>
      </c>
      <c r="H207" s="11">
        <v>18</v>
      </c>
      <c r="I207" s="11" t="s">
        <v>27</v>
      </c>
      <c r="J207" s="11" t="s">
        <v>19</v>
      </c>
      <c r="K207" s="11">
        <v>3299</v>
      </c>
      <c r="L207" s="11">
        <v>2050</v>
      </c>
      <c r="M207" s="11">
        <v>1082</v>
      </c>
      <c r="N207" s="11">
        <v>17</v>
      </c>
      <c r="O207" s="12">
        <v>45999</v>
      </c>
      <c r="P207" s="11" t="s">
        <v>41</v>
      </c>
      <c r="Q207" s="11" t="s">
        <v>49</v>
      </c>
      <c r="R207" s="11">
        <v>7</v>
      </c>
      <c r="S207" s="11">
        <v>17</v>
      </c>
      <c r="T207" s="11" t="s">
        <v>100</v>
      </c>
      <c r="U207" s="11" t="s">
        <v>101</v>
      </c>
      <c r="V207" s="11" t="s">
        <v>78</v>
      </c>
      <c r="W207" s="11" t="s">
        <v>62</v>
      </c>
      <c r="X207" s="13">
        <v>44959</v>
      </c>
    </row>
    <row r="208" spans="1:24" x14ac:dyDescent="0.3">
      <c r="A208" s="8">
        <v>207</v>
      </c>
      <c r="B208" s="8">
        <v>1082</v>
      </c>
      <c r="C208" s="8">
        <v>6</v>
      </c>
      <c r="D208" s="8">
        <v>3</v>
      </c>
      <c r="E208" s="8">
        <v>1899</v>
      </c>
      <c r="F208" s="8">
        <v>0.05</v>
      </c>
      <c r="G208" s="8">
        <v>5412</v>
      </c>
      <c r="H208" s="8">
        <v>6</v>
      </c>
      <c r="I208" s="8" t="s">
        <v>12</v>
      </c>
      <c r="J208" s="8" t="s">
        <v>11</v>
      </c>
      <c r="K208" s="8">
        <v>1899</v>
      </c>
      <c r="L208" s="8">
        <v>950</v>
      </c>
      <c r="M208" s="8">
        <v>1082</v>
      </c>
      <c r="N208" s="8">
        <v>17</v>
      </c>
      <c r="O208" s="9">
        <v>45999</v>
      </c>
      <c r="P208" s="8" t="s">
        <v>41</v>
      </c>
      <c r="Q208" s="8" t="s">
        <v>49</v>
      </c>
      <c r="R208" s="8">
        <v>7</v>
      </c>
      <c r="S208" s="8">
        <v>17</v>
      </c>
      <c r="T208" s="8" t="s">
        <v>100</v>
      </c>
      <c r="U208" s="8" t="s">
        <v>101</v>
      </c>
      <c r="V208" s="8" t="s">
        <v>78</v>
      </c>
      <c r="W208" s="8" t="s">
        <v>62</v>
      </c>
      <c r="X208" s="10">
        <v>44959</v>
      </c>
    </row>
    <row r="209" spans="1:24" x14ac:dyDescent="0.3">
      <c r="A209" s="11">
        <v>208</v>
      </c>
      <c r="B209" s="11">
        <v>1082</v>
      </c>
      <c r="C209" s="11">
        <v>3</v>
      </c>
      <c r="D209" s="11">
        <v>1</v>
      </c>
      <c r="E209" s="11">
        <v>1799</v>
      </c>
      <c r="F209" s="11">
        <v>0.1</v>
      </c>
      <c r="G209" s="11">
        <v>1619</v>
      </c>
      <c r="H209" s="11">
        <v>3</v>
      </c>
      <c r="I209" s="11" t="s">
        <v>8</v>
      </c>
      <c r="J209" s="11" t="s">
        <v>6</v>
      </c>
      <c r="K209" s="11">
        <v>1799</v>
      </c>
      <c r="L209" s="11">
        <v>980</v>
      </c>
      <c r="M209" s="11">
        <v>1082</v>
      </c>
      <c r="N209" s="11">
        <v>17</v>
      </c>
      <c r="O209" s="12">
        <v>45999</v>
      </c>
      <c r="P209" s="11" t="s">
        <v>41</v>
      </c>
      <c r="Q209" s="11" t="s">
        <v>49</v>
      </c>
      <c r="R209" s="11">
        <v>7</v>
      </c>
      <c r="S209" s="11">
        <v>17</v>
      </c>
      <c r="T209" s="11" t="s">
        <v>100</v>
      </c>
      <c r="U209" s="11" t="s">
        <v>101</v>
      </c>
      <c r="V209" s="11" t="s">
        <v>78</v>
      </c>
      <c r="W209" s="11" t="s">
        <v>62</v>
      </c>
      <c r="X209" s="13">
        <v>44959</v>
      </c>
    </row>
    <row r="210" spans="1:24" x14ac:dyDescent="0.3">
      <c r="A210" s="8">
        <v>209</v>
      </c>
      <c r="B210" s="8">
        <v>1083</v>
      </c>
      <c r="C210" s="8">
        <v>13</v>
      </c>
      <c r="D210" s="8">
        <v>1</v>
      </c>
      <c r="E210" s="8">
        <v>10999</v>
      </c>
      <c r="F210" s="8">
        <v>0.1</v>
      </c>
      <c r="G210" s="8">
        <v>9899</v>
      </c>
      <c r="H210" s="8">
        <v>13</v>
      </c>
      <c r="I210" s="8" t="s">
        <v>22</v>
      </c>
      <c r="J210" s="8" t="s">
        <v>6</v>
      </c>
      <c r="K210" s="8">
        <v>10999</v>
      </c>
      <c r="L210" s="8">
        <v>7900</v>
      </c>
      <c r="M210" s="8">
        <v>1083</v>
      </c>
      <c r="N210" s="8">
        <v>17</v>
      </c>
      <c r="O210" s="9">
        <v>45891</v>
      </c>
      <c r="P210" s="8" t="s">
        <v>47</v>
      </c>
      <c r="Q210" s="8" t="s">
        <v>43</v>
      </c>
      <c r="R210" s="8">
        <v>0</v>
      </c>
      <c r="S210" s="8">
        <v>17</v>
      </c>
      <c r="T210" s="8" t="s">
        <v>100</v>
      </c>
      <c r="U210" s="8" t="s">
        <v>101</v>
      </c>
      <c r="V210" s="8" t="s">
        <v>78</v>
      </c>
      <c r="W210" s="8" t="s">
        <v>62</v>
      </c>
      <c r="X210" s="10">
        <v>44959</v>
      </c>
    </row>
    <row r="211" spans="1:24" x14ac:dyDescent="0.3">
      <c r="A211" s="11">
        <v>210</v>
      </c>
      <c r="B211" s="11">
        <v>1083</v>
      </c>
      <c r="C211" s="11">
        <v>16</v>
      </c>
      <c r="D211" s="11">
        <v>1</v>
      </c>
      <c r="E211" s="11">
        <v>1599</v>
      </c>
      <c r="F211" s="11">
        <v>0.15</v>
      </c>
      <c r="G211" s="11">
        <v>1359</v>
      </c>
      <c r="H211" s="11">
        <v>16</v>
      </c>
      <c r="I211" s="11" t="s">
        <v>25</v>
      </c>
      <c r="J211" s="11" t="s">
        <v>6</v>
      </c>
      <c r="K211" s="11">
        <v>1599</v>
      </c>
      <c r="L211" s="11">
        <v>900</v>
      </c>
      <c r="M211" s="11">
        <v>1083</v>
      </c>
      <c r="N211" s="11">
        <v>17</v>
      </c>
      <c r="O211" s="12">
        <v>45891</v>
      </c>
      <c r="P211" s="11" t="s">
        <v>47</v>
      </c>
      <c r="Q211" s="11" t="s">
        <v>43</v>
      </c>
      <c r="R211" s="11">
        <v>0</v>
      </c>
      <c r="S211" s="11">
        <v>17</v>
      </c>
      <c r="T211" s="11" t="s">
        <v>100</v>
      </c>
      <c r="U211" s="11" t="s">
        <v>101</v>
      </c>
      <c r="V211" s="11" t="s">
        <v>78</v>
      </c>
      <c r="W211" s="11" t="s">
        <v>62</v>
      </c>
      <c r="X211" s="13">
        <v>44959</v>
      </c>
    </row>
    <row r="212" spans="1:24" x14ac:dyDescent="0.3">
      <c r="A212" s="8">
        <v>211</v>
      </c>
      <c r="B212" s="8">
        <v>1084</v>
      </c>
      <c r="C212" s="8">
        <v>1</v>
      </c>
      <c r="D212" s="8">
        <v>2</v>
      </c>
      <c r="E212" s="8">
        <v>799</v>
      </c>
      <c r="F212" s="8">
        <v>0.2</v>
      </c>
      <c r="G212" s="8">
        <v>1278</v>
      </c>
      <c r="H212" s="8">
        <v>1</v>
      </c>
      <c r="I212" s="8" t="s">
        <v>5</v>
      </c>
      <c r="J212" s="8" t="s">
        <v>6</v>
      </c>
      <c r="K212" s="8">
        <v>799</v>
      </c>
      <c r="L212" s="8">
        <v>420</v>
      </c>
      <c r="M212" s="8">
        <v>1084</v>
      </c>
      <c r="N212" s="8">
        <v>19</v>
      </c>
      <c r="O212" s="9">
        <v>46016</v>
      </c>
      <c r="P212" s="8" t="s">
        <v>41</v>
      </c>
      <c r="Q212" s="8" t="s">
        <v>49</v>
      </c>
      <c r="R212" s="8">
        <v>1</v>
      </c>
      <c r="S212" s="8">
        <v>19</v>
      </c>
      <c r="T212" s="8" t="s">
        <v>104</v>
      </c>
      <c r="U212" s="8" t="s">
        <v>105</v>
      </c>
      <c r="V212" s="8" t="s">
        <v>84</v>
      </c>
      <c r="W212" s="8" t="s">
        <v>58</v>
      </c>
      <c r="X212" s="10">
        <v>45022</v>
      </c>
    </row>
    <row r="213" spans="1:24" x14ac:dyDescent="0.3">
      <c r="A213" s="11">
        <v>212</v>
      </c>
      <c r="B213" s="11">
        <v>1084</v>
      </c>
      <c r="C213" s="11">
        <v>19</v>
      </c>
      <c r="D213" s="11">
        <v>1</v>
      </c>
      <c r="E213" s="11">
        <v>499</v>
      </c>
      <c r="F213" s="11">
        <v>0.05</v>
      </c>
      <c r="G213" s="11">
        <v>474</v>
      </c>
      <c r="H213" s="11">
        <v>19</v>
      </c>
      <c r="I213" s="11" t="s">
        <v>28</v>
      </c>
      <c r="J213" s="11" t="s">
        <v>11</v>
      </c>
      <c r="K213" s="11">
        <v>499</v>
      </c>
      <c r="L213" s="11">
        <v>220</v>
      </c>
      <c r="M213" s="11">
        <v>1084</v>
      </c>
      <c r="N213" s="11">
        <v>19</v>
      </c>
      <c r="O213" s="12">
        <v>46016</v>
      </c>
      <c r="P213" s="11" t="s">
        <v>41</v>
      </c>
      <c r="Q213" s="11" t="s">
        <v>49</v>
      </c>
      <c r="R213" s="11">
        <v>1</v>
      </c>
      <c r="S213" s="11">
        <v>19</v>
      </c>
      <c r="T213" s="11" t="s">
        <v>104</v>
      </c>
      <c r="U213" s="11" t="s">
        <v>105</v>
      </c>
      <c r="V213" s="11" t="s">
        <v>84</v>
      </c>
      <c r="W213" s="11" t="s">
        <v>58</v>
      </c>
      <c r="X213" s="13">
        <v>45022</v>
      </c>
    </row>
    <row r="214" spans="1:24" x14ac:dyDescent="0.3">
      <c r="A214" s="8">
        <v>213</v>
      </c>
      <c r="B214" s="8">
        <v>1084</v>
      </c>
      <c r="C214" s="8">
        <v>2</v>
      </c>
      <c r="D214" s="8">
        <v>2</v>
      </c>
      <c r="E214" s="8">
        <v>2499</v>
      </c>
      <c r="F214" s="8">
        <v>0</v>
      </c>
      <c r="G214" s="8">
        <v>4998</v>
      </c>
      <c r="H214" s="8">
        <v>2</v>
      </c>
      <c r="I214" s="8" t="s">
        <v>7</v>
      </c>
      <c r="J214" s="8" t="s">
        <v>6</v>
      </c>
      <c r="K214" s="8">
        <v>2499</v>
      </c>
      <c r="L214" s="8">
        <v>1500</v>
      </c>
      <c r="M214" s="8">
        <v>1084</v>
      </c>
      <c r="N214" s="8">
        <v>19</v>
      </c>
      <c r="O214" s="9">
        <v>46016</v>
      </c>
      <c r="P214" s="8" t="s">
        <v>41</v>
      </c>
      <c r="Q214" s="8" t="s">
        <v>49</v>
      </c>
      <c r="R214" s="8">
        <v>1</v>
      </c>
      <c r="S214" s="8">
        <v>19</v>
      </c>
      <c r="T214" s="8" t="s">
        <v>104</v>
      </c>
      <c r="U214" s="8" t="s">
        <v>105</v>
      </c>
      <c r="V214" s="8" t="s">
        <v>84</v>
      </c>
      <c r="W214" s="8" t="s">
        <v>58</v>
      </c>
      <c r="X214" s="10">
        <v>45022</v>
      </c>
    </row>
    <row r="215" spans="1:24" x14ac:dyDescent="0.3">
      <c r="A215" s="11">
        <v>214</v>
      </c>
      <c r="B215" s="11">
        <v>1085</v>
      </c>
      <c r="C215" s="11">
        <v>5</v>
      </c>
      <c r="D215" s="11">
        <v>1</v>
      </c>
      <c r="E215" s="11">
        <v>1299</v>
      </c>
      <c r="F215" s="11">
        <v>0.1</v>
      </c>
      <c r="G215" s="11">
        <v>1169</v>
      </c>
      <c r="H215" s="11">
        <v>5</v>
      </c>
      <c r="I215" s="11" t="s">
        <v>10</v>
      </c>
      <c r="J215" s="11" t="s">
        <v>11</v>
      </c>
      <c r="K215" s="11">
        <v>1299</v>
      </c>
      <c r="L215" s="11">
        <v>650</v>
      </c>
      <c r="M215" s="11">
        <v>1085</v>
      </c>
      <c r="N215" s="11">
        <v>39</v>
      </c>
      <c r="O215" s="12">
        <v>45838</v>
      </c>
      <c r="P215" s="11" t="s">
        <v>41</v>
      </c>
      <c r="Q215" s="11" t="s">
        <v>42</v>
      </c>
      <c r="R215" s="11">
        <v>6</v>
      </c>
      <c r="S215" s="11">
        <v>39</v>
      </c>
      <c r="T215" s="11" t="s">
        <v>126</v>
      </c>
      <c r="U215" s="11" t="s">
        <v>105</v>
      </c>
      <c r="V215" s="11" t="s">
        <v>84</v>
      </c>
      <c r="W215" s="11" t="s">
        <v>66</v>
      </c>
      <c r="X215" s="13">
        <v>45752</v>
      </c>
    </row>
    <row r="216" spans="1:24" x14ac:dyDescent="0.3">
      <c r="A216" s="8">
        <v>215</v>
      </c>
      <c r="B216" s="8">
        <v>1085</v>
      </c>
      <c r="C216" s="8">
        <v>4</v>
      </c>
      <c r="D216" s="8">
        <v>1</v>
      </c>
      <c r="E216" s="8">
        <v>2199</v>
      </c>
      <c r="F216" s="8">
        <v>0.05</v>
      </c>
      <c r="G216" s="8">
        <v>2089</v>
      </c>
      <c r="H216" s="8">
        <v>4</v>
      </c>
      <c r="I216" s="8" t="s">
        <v>9</v>
      </c>
      <c r="J216" s="8" t="s">
        <v>6</v>
      </c>
      <c r="K216" s="8">
        <v>2199</v>
      </c>
      <c r="L216" s="8">
        <v>1250</v>
      </c>
      <c r="M216" s="8">
        <v>1085</v>
      </c>
      <c r="N216" s="8">
        <v>39</v>
      </c>
      <c r="O216" s="9">
        <v>45838</v>
      </c>
      <c r="P216" s="8" t="s">
        <v>41</v>
      </c>
      <c r="Q216" s="8" t="s">
        <v>42</v>
      </c>
      <c r="R216" s="8">
        <v>6</v>
      </c>
      <c r="S216" s="8">
        <v>39</v>
      </c>
      <c r="T216" s="8" t="s">
        <v>126</v>
      </c>
      <c r="U216" s="8" t="s">
        <v>105</v>
      </c>
      <c r="V216" s="8" t="s">
        <v>84</v>
      </c>
      <c r="W216" s="8" t="s">
        <v>66</v>
      </c>
      <c r="X216" s="10">
        <v>45752</v>
      </c>
    </row>
    <row r="217" spans="1:24" x14ac:dyDescent="0.3">
      <c r="A217" s="11">
        <v>216</v>
      </c>
      <c r="B217" s="11">
        <v>1085</v>
      </c>
      <c r="C217" s="11">
        <v>2</v>
      </c>
      <c r="D217" s="11">
        <v>2</v>
      </c>
      <c r="E217" s="11">
        <v>2499</v>
      </c>
      <c r="F217" s="11">
        <v>0</v>
      </c>
      <c r="G217" s="11">
        <v>4998</v>
      </c>
      <c r="H217" s="11">
        <v>2</v>
      </c>
      <c r="I217" s="11" t="s">
        <v>7</v>
      </c>
      <c r="J217" s="11" t="s">
        <v>6</v>
      </c>
      <c r="K217" s="11">
        <v>2499</v>
      </c>
      <c r="L217" s="11">
        <v>1500</v>
      </c>
      <c r="M217" s="11">
        <v>1085</v>
      </c>
      <c r="N217" s="11">
        <v>39</v>
      </c>
      <c r="O217" s="12">
        <v>45838</v>
      </c>
      <c r="P217" s="11" t="s">
        <v>41</v>
      </c>
      <c r="Q217" s="11" t="s">
        <v>42</v>
      </c>
      <c r="R217" s="11">
        <v>6</v>
      </c>
      <c r="S217" s="11">
        <v>39</v>
      </c>
      <c r="T217" s="11" t="s">
        <v>126</v>
      </c>
      <c r="U217" s="11" t="s">
        <v>105</v>
      </c>
      <c r="V217" s="11" t="s">
        <v>84</v>
      </c>
      <c r="W217" s="11" t="s">
        <v>66</v>
      </c>
      <c r="X217" s="13">
        <v>45752</v>
      </c>
    </row>
    <row r="218" spans="1:24" x14ac:dyDescent="0.3">
      <c r="A218" s="8">
        <v>217</v>
      </c>
      <c r="B218" s="8">
        <v>1086</v>
      </c>
      <c r="C218" s="8">
        <v>5</v>
      </c>
      <c r="D218" s="8">
        <v>2</v>
      </c>
      <c r="E218" s="8">
        <v>1299</v>
      </c>
      <c r="F218" s="8">
        <v>0.05</v>
      </c>
      <c r="G218" s="8">
        <v>2468</v>
      </c>
      <c r="H218" s="8">
        <v>5</v>
      </c>
      <c r="I218" s="8" t="s">
        <v>10</v>
      </c>
      <c r="J218" s="8" t="s">
        <v>11</v>
      </c>
      <c r="K218" s="8">
        <v>1299</v>
      </c>
      <c r="L218" s="8">
        <v>650</v>
      </c>
      <c r="M218" s="8">
        <v>1086</v>
      </c>
      <c r="N218" s="8">
        <v>19</v>
      </c>
      <c r="O218" s="9">
        <v>45825</v>
      </c>
      <c r="P218" s="8" t="s">
        <v>44</v>
      </c>
      <c r="Q218" s="8" t="s">
        <v>42</v>
      </c>
      <c r="R218" s="8">
        <v>4</v>
      </c>
      <c r="S218" s="8">
        <v>19</v>
      </c>
      <c r="T218" s="8" t="s">
        <v>104</v>
      </c>
      <c r="U218" s="8" t="s">
        <v>105</v>
      </c>
      <c r="V218" s="8" t="s">
        <v>84</v>
      </c>
      <c r="W218" s="8" t="s">
        <v>58</v>
      </c>
      <c r="X218" s="10">
        <v>45022</v>
      </c>
    </row>
    <row r="219" spans="1:24" x14ac:dyDescent="0.3">
      <c r="A219" s="11">
        <v>218</v>
      </c>
      <c r="B219" s="11">
        <v>1086</v>
      </c>
      <c r="C219" s="11">
        <v>18</v>
      </c>
      <c r="D219" s="11">
        <v>1</v>
      </c>
      <c r="E219" s="11">
        <v>3299</v>
      </c>
      <c r="F219" s="11">
        <v>0.05</v>
      </c>
      <c r="G219" s="11">
        <v>3134</v>
      </c>
      <c r="H219" s="11">
        <v>18</v>
      </c>
      <c r="I219" s="11" t="s">
        <v>27</v>
      </c>
      <c r="J219" s="11" t="s">
        <v>19</v>
      </c>
      <c r="K219" s="11">
        <v>3299</v>
      </c>
      <c r="L219" s="11">
        <v>2050</v>
      </c>
      <c r="M219" s="11">
        <v>1086</v>
      </c>
      <c r="N219" s="11">
        <v>19</v>
      </c>
      <c r="O219" s="12">
        <v>45825</v>
      </c>
      <c r="P219" s="11" t="s">
        <v>44</v>
      </c>
      <c r="Q219" s="11" t="s">
        <v>42</v>
      </c>
      <c r="R219" s="11">
        <v>4</v>
      </c>
      <c r="S219" s="11">
        <v>19</v>
      </c>
      <c r="T219" s="11" t="s">
        <v>104</v>
      </c>
      <c r="U219" s="11" t="s">
        <v>105</v>
      </c>
      <c r="V219" s="11" t="s">
        <v>84</v>
      </c>
      <c r="W219" s="11" t="s">
        <v>58</v>
      </c>
      <c r="X219" s="13">
        <v>45022</v>
      </c>
    </row>
    <row r="220" spans="1:24" x14ac:dyDescent="0.3">
      <c r="A220" s="8">
        <v>219</v>
      </c>
      <c r="B220" s="8">
        <v>1087</v>
      </c>
      <c r="C220" s="8">
        <v>11</v>
      </c>
      <c r="D220" s="8">
        <v>3</v>
      </c>
      <c r="E220" s="8">
        <v>1099</v>
      </c>
      <c r="F220" s="8">
        <v>0</v>
      </c>
      <c r="G220" s="8">
        <v>3297</v>
      </c>
      <c r="H220" s="8">
        <v>11</v>
      </c>
      <c r="I220" s="8" t="s">
        <v>20</v>
      </c>
      <c r="J220" s="8" t="s">
        <v>19</v>
      </c>
      <c r="K220" s="8">
        <v>1099</v>
      </c>
      <c r="L220" s="8">
        <v>570</v>
      </c>
      <c r="M220" s="8">
        <v>1087</v>
      </c>
      <c r="N220" s="8">
        <v>11</v>
      </c>
      <c r="O220" s="9">
        <v>45789</v>
      </c>
      <c r="P220" s="8" t="s">
        <v>47</v>
      </c>
      <c r="Q220" s="8" t="s">
        <v>49</v>
      </c>
      <c r="R220" s="8">
        <v>0</v>
      </c>
      <c r="S220" s="8">
        <v>11</v>
      </c>
      <c r="T220" s="8" t="s">
        <v>88</v>
      </c>
      <c r="U220" s="8" t="s">
        <v>89</v>
      </c>
      <c r="V220" s="8" t="s">
        <v>57</v>
      </c>
      <c r="W220" s="8" t="s">
        <v>62</v>
      </c>
      <c r="X220" s="10">
        <v>45619</v>
      </c>
    </row>
    <row r="221" spans="1:24" x14ac:dyDescent="0.3">
      <c r="A221" s="11">
        <v>220</v>
      </c>
      <c r="B221" s="11">
        <v>1087</v>
      </c>
      <c r="C221" s="11">
        <v>4</v>
      </c>
      <c r="D221" s="11">
        <v>2</v>
      </c>
      <c r="E221" s="11">
        <v>2199</v>
      </c>
      <c r="F221" s="11">
        <v>0</v>
      </c>
      <c r="G221" s="11">
        <v>4398</v>
      </c>
      <c r="H221" s="11">
        <v>4</v>
      </c>
      <c r="I221" s="11" t="s">
        <v>9</v>
      </c>
      <c r="J221" s="11" t="s">
        <v>6</v>
      </c>
      <c r="K221" s="11">
        <v>2199</v>
      </c>
      <c r="L221" s="11">
        <v>1250</v>
      </c>
      <c r="M221" s="11">
        <v>1087</v>
      </c>
      <c r="N221" s="11">
        <v>11</v>
      </c>
      <c r="O221" s="12">
        <v>45789</v>
      </c>
      <c r="P221" s="11" t="s">
        <v>47</v>
      </c>
      <c r="Q221" s="11" t="s">
        <v>49</v>
      </c>
      <c r="R221" s="11">
        <v>0</v>
      </c>
      <c r="S221" s="11">
        <v>11</v>
      </c>
      <c r="T221" s="11" t="s">
        <v>88</v>
      </c>
      <c r="U221" s="11" t="s">
        <v>89</v>
      </c>
      <c r="V221" s="11" t="s">
        <v>57</v>
      </c>
      <c r="W221" s="11" t="s">
        <v>62</v>
      </c>
      <c r="X221" s="13">
        <v>45619</v>
      </c>
    </row>
    <row r="222" spans="1:24" x14ac:dyDescent="0.3">
      <c r="A222" s="8">
        <v>221</v>
      </c>
      <c r="B222" s="8">
        <v>1087</v>
      </c>
      <c r="C222" s="8">
        <v>15</v>
      </c>
      <c r="D222" s="8">
        <v>2</v>
      </c>
      <c r="E222" s="8">
        <v>349</v>
      </c>
      <c r="F222" s="8">
        <v>0.2</v>
      </c>
      <c r="G222" s="8">
        <v>558</v>
      </c>
      <c r="H222" s="8">
        <v>15</v>
      </c>
      <c r="I222" s="8" t="s">
        <v>24</v>
      </c>
      <c r="J222" s="8" t="s">
        <v>11</v>
      </c>
      <c r="K222" s="8">
        <v>349</v>
      </c>
      <c r="L222" s="8">
        <v>120</v>
      </c>
      <c r="M222" s="8">
        <v>1087</v>
      </c>
      <c r="N222" s="8">
        <v>11</v>
      </c>
      <c r="O222" s="9">
        <v>45789</v>
      </c>
      <c r="P222" s="8" t="s">
        <v>47</v>
      </c>
      <c r="Q222" s="8" t="s">
        <v>49</v>
      </c>
      <c r="R222" s="8">
        <v>0</v>
      </c>
      <c r="S222" s="8">
        <v>11</v>
      </c>
      <c r="T222" s="8" t="s">
        <v>88</v>
      </c>
      <c r="U222" s="8" t="s">
        <v>89</v>
      </c>
      <c r="V222" s="8" t="s">
        <v>57</v>
      </c>
      <c r="W222" s="8" t="s">
        <v>62</v>
      </c>
      <c r="X222" s="10">
        <v>45619</v>
      </c>
    </row>
    <row r="223" spans="1:24" x14ac:dyDescent="0.3">
      <c r="A223" s="11">
        <v>222</v>
      </c>
      <c r="B223" s="11">
        <v>1088</v>
      </c>
      <c r="C223" s="11">
        <v>9</v>
      </c>
      <c r="D223" s="11">
        <v>1</v>
      </c>
      <c r="E223" s="11">
        <v>199</v>
      </c>
      <c r="F223" s="11">
        <v>0.1</v>
      </c>
      <c r="G223" s="11">
        <v>179</v>
      </c>
      <c r="H223" s="11">
        <v>9</v>
      </c>
      <c r="I223" s="11" t="s">
        <v>17</v>
      </c>
      <c r="J223" s="11" t="s">
        <v>16</v>
      </c>
      <c r="K223" s="11">
        <v>199</v>
      </c>
      <c r="L223" s="11">
        <v>65</v>
      </c>
      <c r="M223" s="11">
        <v>1088</v>
      </c>
      <c r="N223" s="11">
        <v>26</v>
      </c>
      <c r="O223" s="12">
        <v>45943</v>
      </c>
      <c r="P223" s="11" t="s">
        <v>41</v>
      </c>
      <c r="Q223" s="11" t="s">
        <v>49</v>
      </c>
      <c r="R223" s="11">
        <v>1</v>
      </c>
      <c r="S223" s="11">
        <v>26</v>
      </c>
      <c r="T223" s="11" t="s">
        <v>113</v>
      </c>
      <c r="U223" s="11" t="s">
        <v>74</v>
      </c>
      <c r="V223" s="11" t="s">
        <v>75</v>
      </c>
      <c r="W223" s="11" t="s">
        <v>62</v>
      </c>
      <c r="X223" s="13">
        <v>45130</v>
      </c>
    </row>
    <row r="224" spans="1:24" x14ac:dyDescent="0.3">
      <c r="A224" s="8">
        <v>223</v>
      </c>
      <c r="B224" s="8">
        <v>1089</v>
      </c>
      <c r="C224" s="8">
        <v>12</v>
      </c>
      <c r="D224" s="8">
        <v>1</v>
      </c>
      <c r="E224" s="8">
        <v>399</v>
      </c>
      <c r="F224" s="8">
        <v>0.15</v>
      </c>
      <c r="G224" s="8">
        <v>339</v>
      </c>
      <c r="H224" s="8">
        <v>12</v>
      </c>
      <c r="I224" s="8" t="s">
        <v>21</v>
      </c>
      <c r="J224" s="8" t="s">
        <v>14</v>
      </c>
      <c r="K224" s="8">
        <v>399</v>
      </c>
      <c r="L224" s="8">
        <v>140</v>
      </c>
      <c r="M224" s="8">
        <v>1089</v>
      </c>
      <c r="N224" s="8">
        <v>24</v>
      </c>
      <c r="O224" s="9">
        <v>46002</v>
      </c>
      <c r="P224" s="8" t="s">
        <v>44</v>
      </c>
      <c r="Q224" s="8" t="s">
        <v>43</v>
      </c>
      <c r="R224" s="8">
        <v>6</v>
      </c>
      <c r="S224" s="8">
        <v>24</v>
      </c>
      <c r="T224" s="8" t="s">
        <v>111</v>
      </c>
      <c r="U224" s="8" t="s">
        <v>68</v>
      </c>
      <c r="V224" s="8" t="s">
        <v>69</v>
      </c>
      <c r="W224" s="8" t="s">
        <v>66</v>
      </c>
      <c r="X224" s="10">
        <v>44954</v>
      </c>
    </row>
    <row r="225" spans="1:24" x14ac:dyDescent="0.3">
      <c r="A225" s="11">
        <v>224</v>
      </c>
      <c r="B225" s="11">
        <v>1089</v>
      </c>
      <c r="C225" s="11">
        <v>4</v>
      </c>
      <c r="D225" s="11">
        <v>1</v>
      </c>
      <c r="E225" s="11">
        <v>2199</v>
      </c>
      <c r="F225" s="11">
        <v>0.15</v>
      </c>
      <c r="G225" s="11">
        <v>1869</v>
      </c>
      <c r="H225" s="11">
        <v>4</v>
      </c>
      <c r="I225" s="11" t="s">
        <v>9</v>
      </c>
      <c r="J225" s="11" t="s">
        <v>6</v>
      </c>
      <c r="K225" s="11">
        <v>2199</v>
      </c>
      <c r="L225" s="11">
        <v>1250</v>
      </c>
      <c r="M225" s="11">
        <v>1089</v>
      </c>
      <c r="N225" s="11">
        <v>24</v>
      </c>
      <c r="O225" s="12">
        <v>46002</v>
      </c>
      <c r="P225" s="11" t="s">
        <v>44</v>
      </c>
      <c r="Q225" s="11" t="s">
        <v>43</v>
      </c>
      <c r="R225" s="11">
        <v>6</v>
      </c>
      <c r="S225" s="11">
        <v>24</v>
      </c>
      <c r="T225" s="11" t="s">
        <v>111</v>
      </c>
      <c r="U225" s="11" t="s">
        <v>68</v>
      </c>
      <c r="V225" s="11" t="s">
        <v>69</v>
      </c>
      <c r="W225" s="11" t="s">
        <v>66</v>
      </c>
      <c r="X225" s="13">
        <v>44954</v>
      </c>
    </row>
    <row r="226" spans="1:24" x14ac:dyDescent="0.3">
      <c r="A226" s="8">
        <v>225</v>
      </c>
      <c r="B226" s="8">
        <v>1089</v>
      </c>
      <c r="C226" s="8">
        <v>8</v>
      </c>
      <c r="D226" s="8">
        <v>1</v>
      </c>
      <c r="E226" s="8">
        <v>299</v>
      </c>
      <c r="F226" s="8">
        <v>0</v>
      </c>
      <c r="G226" s="8">
        <v>299</v>
      </c>
      <c r="H226" s="8">
        <v>8</v>
      </c>
      <c r="I226" s="8" t="s">
        <v>15</v>
      </c>
      <c r="J226" s="8" t="s">
        <v>16</v>
      </c>
      <c r="K226" s="8">
        <v>299</v>
      </c>
      <c r="L226" s="8">
        <v>110</v>
      </c>
      <c r="M226" s="8">
        <v>1089</v>
      </c>
      <c r="N226" s="8">
        <v>24</v>
      </c>
      <c r="O226" s="9">
        <v>46002</v>
      </c>
      <c r="P226" s="8" t="s">
        <v>44</v>
      </c>
      <c r="Q226" s="8" t="s">
        <v>43</v>
      </c>
      <c r="R226" s="8">
        <v>6</v>
      </c>
      <c r="S226" s="8">
        <v>24</v>
      </c>
      <c r="T226" s="8" t="s">
        <v>111</v>
      </c>
      <c r="U226" s="8" t="s">
        <v>68</v>
      </c>
      <c r="V226" s="8" t="s">
        <v>69</v>
      </c>
      <c r="W226" s="8" t="s">
        <v>66</v>
      </c>
      <c r="X226" s="10">
        <v>44954</v>
      </c>
    </row>
    <row r="227" spans="1:24" x14ac:dyDescent="0.3">
      <c r="A227" s="11">
        <v>226</v>
      </c>
      <c r="B227" s="11">
        <v>1089</v>
      </c>
      <c r="C227" s="11">
        <v>16</v>
      </c>
      <c r="D227" s="11">
        <v>1</v>
      </c>
      <c r="E227" s="11">
        <v>1599</v>
      </c>
      <c r="F227" s="11">
        <v>0.1</v>
      </c>
      <c r="G227" s="11">
        <v>1439</v>
      </c>
      <c r="H227" s="11">
        <v>16</v>
      </c>
      <c r="I227" s="11" t="s">
        <v>25</v>
      </c>
      <c r="J227" s="11" t="s">
        <v>6</v>
      </c>
      <c r="K227" s="11">
        <v>1599</v>
      </c>
      <c r="L227" s="11">
        <v>900</v>
      </c>
      <c r="M227" s="11">
        <v>1089</v>
      </c>
      <c r="N227" s="11">
        <v>24</v>
      </c>
      <c r="O227" s="12">
        <v>46002</v>
      </c>
      <c r="P227" s="11" t="s">
        <v>44</v>
      </c>
      <c r="Q227" s="11" t="s">
        <v>43</v>
      </c>
      <c r="R227" s="11">
        <v>6</v>
      </c>
      <c r="S227" s="11">
        <v>24</v>
      </c>
      <c r="T227" s="11" t="s">
        <v>111</v>
      </c>
      <c r="U227" s="11" t="s">
        <v>68</v>
      </c>
      <c r="V227" s="11" t="s">
        <v>69</v>
      </c>
      <c r="W227" s="11" t="s">
        <v>66</v>
      </c>
      <c r="X227" s="13">
        <v>44954</v>
      </c>
    </row>
    <row r="228" spans="1:24" x14ac:dyDescent="0.3">
      <c r="A228" s="8">
        <v>227</v>
      </c>
      <c r="B228" s="8">
        <v>1090</v>
      </c>
      <c r="C228" s="8">
        <v>2</v>
      </c>
      <c r="D228" s="8">
        <v>1</v>
      </c>
      <c r="E228" s="8">
        <v>2499</v>
      </c>
      <c r="F228" s="8">
        <v>0.1</v>
      </c>
      <c r="G228" s="8">
        <v>2249</v>
      </c>
      <c r="H228" s="8">
        <v>2</v>
      </c>
      <c r="I228" s="8" t="s">
        <v>7</v>
      </c>
      <c r="J228" s="8" t="s">
        <v>6</v>
      </c>
      <c r="K228" s="8">
        <v>2499</v>
      </c>
      <c r="L228" s="8">
        <v>1500</v>
      </c>
      <c r="M228" s="8">
        <v>1090</v>
      </c>
      <c r="N228" s="8">
        <v>20</v>
      </c>
      <c r="O228" s="9">
        <v>45990</v>
      </c>
      <c r="P228" s="8" t="s">
        <v>41</v>
      </c>
      <c r="Q228" s="8" t="s">
        <v>42</v>
      </c>
      <c r="R228" s="8">
        <v>1</v>
      </c>
      <c r="S228" s="8">
        <v>20</v>
      </c>
      <c r="T228" s="8" t="s">
        <v>106</v>
      </c>
      <c r="U228" s="8" t="s">
        <v>107</v>
      </c>
      <c r="V228" s="8" t="s">
        <v>87</v>
      </c>
      <c r="W228" s="8" t="s">
        <v>62</v>
      </c>
      <c r="X228" s="10">
        <v>45150</v>
      </c>
    </row>
    <row r="229" spans="1:24" x14ac:dyDescent="0.3">
      <c r="A229" s="11">
        <v>228</v>
      </c>
      <c r="B229" s="11">
        <v>1091</v>
      </c>
      <c r="C229" s="11">
        <v>15</v>
      </c>
      <c r="D229" s="11">
        <v>1</v>
      </c>
      <c r="E229" s="11">
        <v>349</v>
      </c>
      <c r="F229" s="11">
        <v>0.2</v>
      </c>
      <c r="G229" s="11">
        <v>279</v>
      </c>
      <c r="H229" s="11">
        <v>15</v>
      </c>
      <c r="I229" s="11" t="s">
        <v>24</v>
      </c>
      <c r="J229" s="11" t="s">
        <v>11</v>
      </c>
      <c r="K229" s="11">
        <v>349</v>
      </c>
      <c r="L229" s="11">
        <v>120</v>
      </c>
      <c r="M229" s="11">
        <v>1091</v>
      </c>
      <c r="N229" s="11">
        <v>8</v>
      </c>
      <c r="O229" s="12">
        <v>45707</v>
      </c>
      <c r="P229" s="11" t="s">
        <v>41</v>
      </c>
      <c r="Q229" s="11" t="s">
        <v>42</v>
      </c>
      <c r="R229" s="11">
        <v>5</v>
      </c>
      <c r="S229" s="11">
        <v>8</v>
      </c>
      <c r="T229" s="11" t="s">
        <v>79</v>
      </c>
      <c r="U229" s="11" t="s">
        <v>80</v>
      </c>
      <c r="V229" s="11" t="s">
        <v>81</v>
      </c>
      <c r="W229" s="11" t="s">
        <v>62</v>
      </c>
      <c r="X229" s="13">
        <v>45069</v>
      </c>
    </row>
    <row r="230" spans="1:24" x14ac:dyDescent="0.3">
      <c r="A230" s="8">
        <v>229</v>
      </c>
      <c r="B230" s="8">
        <v>1091</v>
      </c>
      <c r="C230" s="8">
        <v>12</v>
      </c>
      <c r="D230" s="8">
        <v>1</v>
      </c>
      <c r="E230" s="8">
        <v>399</v>
      </c>
      <c r="F230" s="8">
        <v>0.1</v>
      </c>
      <c r="G230" s="8">
        <v>359</v>
      </c>
      <c r="H230" s="8">
        <v>12</v>
      </c>
      <c r="I230" s="8" t="s">
        <v>21</v>
      </c>
      <c r="J230" s="8" t="s">
        <v>14</v>
      </c>
      <c r="K230" s="8">
        <v>399</v>
      </c>
      <c r="L230" s="8">
        <v>140</v>
      </c>
      <c r="M230" s="8">
        <v>1091</v>
      </c>
      <c r="N230" s="8">
        <v>8</v>
      </c>
      <c r="O230" s="9">
        <v>45707</v>
      </c>
      <c r="P230" s="8" t="s">
        <v>41</v>
      </c>
      <c r="Q230" s="8" t="s">
        <v>42</v>
      </c>
      <c r="R230" s="8">
        <v>5</v>
      </c>
      <c r="S230" s="8">
        <v>8</v>
      </c>
      <c r="T230" s="8" t="s">
        <v>79</v>
      </c>
      <c r="U230" s="8" t="s">
        <v>80</v>
      </c>
      <c r="V230" s="8" t="s">
        <v>81</v>
      </c>
      <c r="W230" s="8" t="s">
        <v>62</v>
      </c>
      <c r="X230" s="10">
        <v>45069</v>
      </c>
    </row>
    <row r="231" spans="1:24" x14ac:dyDescent="0.3">
      <c r="A231" s="11">
        <v>230</v>
      </c>
      <c r="B231" s="11">
        <v>1091</v>
      </c>
      <c r="C231" s="11">
        <v>18</v>
      </c>
      <c r="D231" s="11">
        <v>2</v>
      </c>
      <c r="E231" s="11">
        <v>3299</v>
      </c>
      <c r="F231" s="11">
        <v>0.1</v>
      </c>
      <c r="G231" s="11">
        <v>5938</v>
      </c>
      <c r="H231" s="11">
        <v>18</v>
      </c>
      <c r="I231" s="11" t="s">
        <v>27</v>
      </c>
      <c r="J231" s="11" t="s">
        <v>19</v>
      </c>
      <c r="K231" s="11">
        <v>3299</v>
      </c>
      <c r="L231" s="11">
        <v>2050</v>
      </c>
      <c r="M231" s="11">
        <v>1091</v>
      </c>
      <c r="N231" s="11">
        <v>8</v>
      </c>
      <c r="O231" s="12">
        <v>45707</v>
      </c>
      <c r="P231" s="11" t="s">
        <v>41</v>
      </c>
      <c r="Q231" s="11" t="s">
        <v>42</v>
      </c>
      <c r="R231" s="11">
        <v>5</v>
      </c>
      <c r="S231" s="11">
        <v>8</v>
      </c>
      <c r="T231" s="11" t="s">
        <v>79</v>
      </c>
      <c r="U231" s="11" t="s">
        <v>80</v>
      </c>
      <c r="V231" s="11" t="s">
        <v>81</v>
      </c>
      <c r="W231" s="11" t="s">
        <v>62</v>
      </c>
      <c r="X231" s="13">
        <v>45069</v>
      </c>
    </row>
    <row r="232" spans="1:24" x14ac:dyDescent="0.3">
      <c r="A232" s="8">
        <v>231</v>
      </c>
      <c r="B232" s="8">
        <v>1091</v>
      </c>
      <c r="C232" s="8">
        <v>14</v>
      </c>
      <c r="D232" s="8">
        <v>1</v>
      </c>
      <c r="E232" s="8">
        <v>2499</v>
      </c>
      <c r="F232" s="8">
        <v>0.05</v>
      </c>
      <c r="G232" s="8">
        <v>2374</v>
      </c>
      <c r="H232" s="8">
        <v>14</v>
      </c>
      <c r="I232" s="8" t="s">
        <v>23</v>
      </c>
      <c r="J232" s="8" t="s">
        <v>6</v>
      </c>
      <c r="K232" s="8">
        <v>2499</v>
      </c>
      <c r="L232" s="8">
        <v>1500</v>
      </c>
      <c r="M232" s="8">
        <v>1091</v>
      </c>
      <c r="N232" s="8">
        <v>8</v>
      </c>
      <c r="O232" s="9">
        <v>45707</v>
      </c>
      <c r="P232" s="8" t="s">
        <v>41</v>
      </c>
      <c r="Q232" s="8" t="s">
        <v>42</v>
      </c>
      <c r="R232" s="8">
        <v>5</v>
      </c>
      <c r="S232" s="8">
        <v>8</v>
      </c>
      <c r="T232" s="8" t="s">
        <v>79</v>
      </c>
      <c r="U232" s="8" t="s">
        <v>80</v>
      </c>
      <c r="V232" s="8" t="s">
        <v>81</v>
      </c>
      <c r="W232" s="8" t="s">
        <v>62</v>
      </c>
      <c r="X232" s="10">
        <v>45069</v>
      </c>
    </row>
    <row r="233" spans="1:24" x14ac:dyDescent="0.3">
      <c r="A233" s="11">
        <v>232</v>
      </c>
      <c r="B233" s="11">
        <v>1092</v>
      </c>
      <c r="C233" s="11">
        <v>8</v>
      </c>
      <c r="D233" s="11">
        <v>1</v>
      </c>
      <c r="E233" s="11">
        <v>299</v>
      </c>
      <c r="F233" s="11">
        <v>0.2</v>
      </c>
      <c r="G233" s="11">
        <v>239</v>
      </c>
      <c r="H233" s="11">
        <v>8</v>
      </c>
      <c r="I233" s="11" t="s">
        <v>15</v>
      </c>
      <c r="J233" s="11" t="s">
        <v>16</v>
      </c>
      <c r="K233" s="11">
        <v>299</v>
      </c>
      <c r="L233" s="11">
        <v>110</v>
      </c>
      <c r="M233" s="11">
        <v>1092</v>
      </c>
      <c r="N233" s="11">
        <v>3</v>
      </c>
      <c r="O233" s="12">
        <v>46011</v>
      </c>
      <c r="P233" s="11" t="s">
        <v>41</v>
      </c>
      <c r="Q233" s="11" t="s">
        <v>49</v>
      </c>
      <c r="R233" s="11">
        <v>2</v>
      </c>
      <c r="S233" s="11">
        <v>3</v>
      </c>
      <c r="T233" s="11" t="s">
        <v>63</v>
      </c>
      <c r="U233" s="11" t="s">
        <v>64</v>
      </c>
      <c r="V233" s="11" t="s">
        <v>65</v>
      </c>
      <c r="W233" s="11" t="s">
        <v>66</v>
      </c>
      <c r="X233" s="13">
        <v>44952</v>
      </c>
    </row>
    <row r="234" spans="1:24" x14ac:dyDescent="0.3">
      <c r="A234" s="8">
        <v>233</v>
      </c>
      <c r="B234" s="8">
        <v>1092</v>
      </c>
      <c r="C234" s="8">
        <v>12</v>
      </c>
      <c r="D234" s="8">
        <v>1</v>
      </c>
      <c r="E234" s="8">
        <v>399</v>
      </c>
      <c r="F234" s="8">
        <v>0.1</v>
      </c>
      <c r="G234" s="8">
        <v>359</v>
      </c>
      <c r="H234" s="8">
        <v>12</v>
      </c>
      <c r="I234" s="8" t="s">
        <v>21</v>
      </c>
      <c r="J234" s="8" t="s">
        <v>14</v>
      </c>
      <c r="K234" s="8">
        <v>399</v>
      </c>
      <c r="L234" s="8">
        <v>140</v>
      </c>
      <c r="M234" s="8">
        <v>1092</v>
      </c>
      <c r="N234" s="8">
        <v>3</v>
      </c>
      <c r="O234" s="9">
        <v>46011</v>
      </c>
      <c r="P234" s="8" t="s">
        <v>41</v>
      </c>
      <c r="Q234" s="8" t="s">
        <v>49</v>
      </c>
      <c r="R234" s="8">
        <v>2</v>
      </c>
      <c r="S234" s="8">
        <v>3</v>
      </c>
      <c r="T234" s="8" t="s">
        <v>63</v>
      </c>
      <c r="U234" s="8" t="s">
        <v>64</v>
      </c>
      <c r="V234" s="8" t="s">
        <v>65</v>
      </c>
      <c r="W234" s="8" t="s">
        <v>66</v>
      </c>
      <c r="X234" s="10">
        <v>44952</v>
      </c>
    </row>
    <row r="235" spans="1:24" x14ac:dyDescent="0.3">
      <c r="A235" s="11">
        <v>234</v>
      </c>
      <c r="B235" s="11">
        <v>1092</v>
      </c>
      <c r="C235" s="11">
        <v>4</v>
      </c>
      <c r="D235" s="11">
        <v>1</v>
      </c>
      <c r="E235" s="11">
        <v>2199</v>
      </c>
      <c r="F235" s="11">
        <v>0</v>
      </c>
      <c r="G235" s="11">
        <v>2199</v>
      </c>
      <c r="H235" s="11">
        <v>4</v>
      </c>
      <c r="I235" s="11" t="s">
        <v>9</v>
      </c>
      <c r="J235" s="11" t="s">
        <v>6</v>
      </c>
      <c r="K235" s="11">
        <v>2199</v>
      </c>
      <c r="L235" s="11">
        <v>1250</v>
      </c>
      <c r="M235" s="11">
        <v>1092</v>
      </c>
      <c r="N235" s="11">
        <v>3</v>
      </c>
      <c r="O235" s="12">
        <v>46011</v>
      </c>
      <c r="P235" s="11" t="s">
        <v>41</v>
      </c>
      <c r="Q235" s="11" t="s">
        <v>49</v>
      </c>
      <c r="R235" s="11">
        <v>2</v>
      </c>
      <c r="S235" s="11">
        <v>3</v>
      </c>
      <c r="T235" s="11" t="s">
        <v>63</v>
      </c>
      <c r="U235" s="11" t="s">
        <v>64</v>
      </c>
      <c r="V235" s="11" t="s">
        <v>65</v>
      </c>
      <c r="W235" s="11" t="s">
        <v>66</v>
      </c>
      <c r="X235" s="13">
        <v>44952</v>
      </c>
    </row>
    <row r="236" spans="1:24" x14ac:dyDescent="0.3">
      <c r="A236" s="8">
        <v>235</v>
      </c>
      <c r="B236" s="8">
        <v>1092</v>
      </c>
      <c r="C236" s="8">
        <v>19</v>
      </c>
      <c r="D236" s="8">
        <v>3</v>
      </c>
      <c r="E236" s="8">
        <v>499</v>
      </c>
      <c r="F236" s="8">
        <v>0.1</v>
      </c>
      <c r="G236" s="8">
        <v>1347</v>
      </c>
      <c r="H236" s="8">
        <v>19</v>
      </c>
      <c r="I236" s="8" t="s">
        <v>28</v>
      </c>
      <c r="J236" s="8" t="s">
        <v>11</v>
      </c>
      <c r="K236" s="8">
        <v>499</v>
      </c>
      <c r="L236" s="8">
        <v>220</v>
      </c>
      <c r="M236" s="8">
        <v>1092</v>
      </c>
      <c r="N236" s="8">
        <v>3</v>
      </c>
      <c r="O236" s="9">
        <v>46011</v>
      </c>
      <c r="P236" s="8" t="s">
        <v>41</v>
      </c>
      <c r="Q236" s="8" t="s">
        <v>49</v>
      </c>
      <c r="R236" s="8">
        <v>2</v>
      </c>
      <c r="S236" s="8">
        <v>3</v>
      </c>
      <c r="T236" s="8" t="s">
        <v>63</v>
      </c>
      <c r="U236" s="8" t="s">
        <v>64</v>
      </c>
      <c r="V236" s="8" t="s">
        <v>65</v>
      </c>
      <c r="W236" s="8" t="s">
        <v>66</v>
      </c>
      <c r="X236" s="10">
        <v>44952</v>
      </c>
    </row>
    <row r="237" spans="1:24" x14ac:dyDescent="0.3">
      <c r="A237" s="11">
        <v>236</v>
      </c>
      <c r="B237" s="11">
        <v>1093</v>
      </c>
      <c r="C237" s="11">
        <v>2</v>
      </c>
      <c r="D237" s="11">
        <v>2</v>
      </c>
      <c r="E237" s="11">
        <v>2499</v>
      </c>
      <c r="F237" s="11">
        <v>0</v>
      </c>
      <c r="G237" s="11">
        <v>4998</v>
      </c>
      <c r="H237" s="11">
        <v>2</v>
      </c>
      <c r="I237" s="11" t="s">
        <v>7</v>
      </c>
      <c r="J237" s="11" t="s">
        <v>6</v>
      </c>
      <c r="K237" s="11">
        <v>2499</v>
      </c>
      <c r="L237" s="11">
        <v>1500</v>
      </c>
      <c r="M237" s="11">
        <v>1093</v>
      </c>
      <c r="N237" s="11">
        <v>6</v>
      </c>
      <c r="O237" s="12">
        <v>45997</v>
      </c>
      <c r="P237" s="11" t="s">
        <v>41</v>
      </c>
      <c r="Q237" s="11" t="s">
        <v>45</v>
      </c>
      <c r="R237" s="11">
        <v>6</v>
      </c>
      <c r="S237" s="11">
        <v>6</v>
      </c>
      <c r="T237" s="11" t="s">
        <v>73</v>
      </c>
      <c r="U237" s="11" t="s">
        <v>74</v>
      </c>
      <c r="V237" s="11" t="s">
        <v>75</v>
      </c>
      <c r="W237" s="11" t="s">
        <v>66</v>
      </c>
      <c r="X237" s="13">
        <v>45177</v>
      </c>
    </row>
    <row r="238" spans="1:24" x14ac:dyDescent="0.3">
      <c r="A238" s="8">
        <v>237</v>
      </c>
      <c r="B238" s="8">
        <v>1094</v>
      </c>
      <c r="C238" s="8">
        <v>19</v>
      </c>
      <c r="D238" s="8">
        <v>2</v>
      </c>
      <c r="E238" s="8">
        <v>499</v>
      </c>
      <c r="F238" s="8">
        <v>0</v>
      </c>
      <c r="G238" s="8">
        <v>998</v>
      </c>
      <c r="H238" s="8">
        <v>19</v>
      </c>
      <c r="I238" s="8" t="s">
        <v>28</v>
      </c>
      <c r="J238" s="8" t="s">
        <v>11</v>
      </c>
      <c r="K238" s="8">
        <v>499</v>
      </c>
      <c r="L238" s="8">
        <v>220</v>
      </c>
      <c r="M238" s="8">
        <v>1094</v>
      </c>
      <c r="N238" s="8">
        <v>9</v>
      </c>
      <c r="O238" s="9">
        <v>45947</v>
      </c>
      <c r="P238" s="8" t="s">
        <v>41</v>
      </c>
      <c r="Q238" s="8" t="s">
        <v>45</v>
      </c>
      <c r="R238" s="8">
        <v>1</v>
      </c>
      <c r="S238" s="8">
        <v>9</v>
      </c>
      <c r="T238" s="8" t="s">
        <v>82</v>
      </c>
      <c r="U238" s="8" t="s">
        <v>83</v>
      </c>
      <c r="V238" s="8" t="s">
        <v>84</v>
      </c>
      <c r="W238" s="8" t="s">
        <v>66</v>
      </c>
      <c r="X238" s="10">
        <v>45681</v>
      </c>
    </row>
    <row r="239" spans="1:24" x14ac:dyDescent="0.3">
      <c r="A239" s="11">
        <v>238</v>
      </c>
      <c r="B239" s="11">
        <v>1094</v>
      </c>
      <c r="C239" s="11">
        <v>7</v>
      </c>
      <c r="D239" s="11">
        <v>1</v>
      </c>
      <c r="E239" s="11">
        <v>999</v>
      </c>
      <c r="F239" s="11">
        <v>0</v>
      </c>
      <c r="G239" s="11">
        <v>999</v>
      </c>
      <c r="H239" s="11">
        <v>7</v>
      </c>
      <c r="I239" s="11" t="s">
        <v>13</v>
      </c>
      <c r="J239" s="11" t="s">
        <v>14</v>
      </c>
      <c r="K239" s="11">
        <v>999</v>
      </c>
      <c r="L239" s="11">
        <v>480</v>
      </c>
      <c r="M239" s="11">
        <v>1094</v>
      </c>
      <c r="N239" s="11">
        <v>9</v>
      </c>
      <c r="O239" s="12">
        <v>45947</v>
      </c>
      <c r="P239" s="11" t="s">
        <v>41</v>
      </c>
      <c r="Q239" s="11" t="s">
        <v>45</v>
      </c>
      <c r="R239" s="11">
        <v>1</v>
      </c>
      <c r="S239" s="11">
        <v>9</v>
      </c>
      <c r="T239" s="11" t="s">
        <v>82</v>
      </c>
      <c r="U239" s="11" t="s">
        <v>83</v>
      </c>
      <c r="V239" s="11" t="s">
        <v>84</v>
      </c>
      <c r="W239" s="11" t="s">
        <v>66</v>
      </c>
      <c r="X239" s="13">
        <v>45681</v>
      </c>
    </row>
    <row r="240" spans="1:24" x14ac:dyDescent="0.3">
      <c r="A240" s="8">
        <v>239</v>
      </c>
      <c r="B240" s="8">
        <v>1095</v>
      </c>
      <c r="C240" s="8">
        <v>18</v>
      </c>
      <c r="D240" s="8">
        <v>2</v>
      </c>
      <c r="E240" s="8">
        <v>3299</v>
      </c>
      <c r="F240" s="8">
        <v>0</v>
      </c>
      <c r="G240" s="8">
        <v>6598</v>
      </c>
      <c r="H240" s="8">
        <v>18</v>
      </c>
      <c r="I240" s="8" t="s">
        <v>27</v>
      </c>
      <c r="J240" s="8" t="s">
        <v>19</v>
      </c>
      <c r="K240" s="8">
        <v>3299</v>
      </c>
      <c r="L240" s="8">
        <v>2050</v>
      </c>
      <c r="M240" s="8">
        <v>1095</v>
      </c>
      <c r="N240" s="8">
        <v>39</v>
      </c>
      <c r="O240" s="9">
        <v>45659</v>
      </c>
      <c r="P240" s="8" t="s">
        <v>41</v>
      </c>
      <c r="Q240" s="8" t="s">
        <v>42</v>
      </c>
      <c r="R240" s="8">
        <v>7</v>
      </c>
      <c r="S240" s="8">
        <v>39</v>
      </c>
      <c r="T240" s="8" t="s">
        <v>126</v>
      </c>
      <c r="U240" s="8" t="s">
        <v>105</v>
      </c>
      <c r="V240" s="8" t="s">
        <v>84</v>
      </c>
      <c r="W240" s="8" t="s">
        <v>66</v>
      </c>
      <c r="X240" s="10">
        <v>45752</v>
      </c>
    </row>
    <row r="241" spans="1:24" x14ac:dyDescent="0.3">
      <c r="A241" s="11">
        <v>240</v>
      </c>
      <c r="B241" s="11">
        <v>1095</v>
      </c>
      <c r="C241" s="11">
        <v>9</v>
      </c>
      <c r="D241" s="11">
        <v>2</v>
      </c>
      <c r="E241" s="11">
        <v>199</v>
      </c>
      <c r="F241" s="11">
        <v>0</v>
      </c>
      <c r="G241" s="11">
        <v>398</v>
      </c>
      <c r="H241" s="11">
        <v>9</v>
      </c>
      <c r="I241" s="11" t="s">
        <v>17</v>
      </c>
      <c r="J241" s="11" t="s">
        <v>16</v>
      </c>
      <c r="K241" s="11">
        <v>199</v>
      </c>
      <c r="L241" s="11">
        <v>65</v>
      </c>
      <c r="M241" s="11">
        <v>1095</v>
      </c>
      <c r="N241" s="11">
        <v>39</v>
      </c>
      <c r="O241" s="12">
        <v>45659</v>
      </c>
      <c r="P241" s="11" t="s">
        <v>41</v>
      </c>
      <c r="Q241" s="11" t="s">
        <v>42</v>
      </c>
      <c r="R241" s="11">
        <v>7</v>
      </c>
      <c r="S241" s="11">
        <v>39</v>
      </c>
      <c r="T241" s="11" t="s">
        <v>126</v>
      </c>
      <c r="U241" s="11" t="s">
        <v>105</v>
      </c>
      <c r="V241" s="11" t="s">
        <v>84</v>
      </c>
      <c r="W241" s="11" t="s">
        <v>66</v>
      </c>
      <c r="X241" s="13">
        <v>45752</v>
      </c>
    </row>
    <row r="242" spans="1:24" x14ac:dyDescent="0.3">
      <c r="A242" s="8">
        <v>241</v>
      </c>
      <c r="B242" s="8">
        <v>1096</v>
      </c>
      <c r="C242" s="8">
        <v>1</v>
      </c>
      <c r="D242" s="8">
        <v>1</v>
      </c>
      <c r="E242" s="8">
        <v>799</v>
      </c>
      <c r="F242" s="8">
        <v>0.2</v>
      </c>
      <c r="G242" s="8">
        <v>639</v>
      </c>
      <c r="H242" s="8">
        <v>1</v>
      </c>
      <c r="I242" s="8" t="s">
        <v>5</v>
      </c>
      <c r="J242" s="8" t="s">
        <v>6</v>
      </c>
      <c r="K242" s="8">
        <v>799</v>
      </c>
      <c r="L242" s="8">
        <v>420</v>
      </c>
      <c r="M242" s="8">
        <v>1096</v>
      </c>
      <c r="N242" s="8">
        <v>9</v>
      </c>
      <c r="O242" s="9">
        <v>45665</v>
      </c>
      <c r="P242" s="8" t="s">
        <v>41</v>
      </c>
      <c r="Q242" s="8" t="s">
        <v>42</v>
      </c>
      <c r="R242" s="8">
        <v>7</v>
      </c>
      <c r="S242" s="8">
        <v>9</v>
      </c>
      <c r="T242" s="8" t="s">
        <v>82</v>
      </c>
      <c r="U242" s="8" t="s">
        <v>83</v>
      </c>
      <c r="V242" s="8" t="s">
        <v>84</v>
      </c>
      <c r="W242" s="8" t="s">
        <v>66</v>
      </c>
      <c r="X242" s="10">
        <v>45681</v>
      </c>
    </row>
    <row r="243" spans="1:24" x14ac:dyDescent="0.3">
      <c r="A243" s="11">
        <v>242</v>
      </c>
      <c r="B243" s="11">
        <v>1096</v>
      </c>
      <c r="C243" s="11">
        <v>6</v>
      </c>
      <c r="D243" s="11">
        <v>1</v>
      </c>
      <c r="E243" s="11">
        <v>1899</v>
      </c>
      <c r="F243" s="11">
        <v>0</v>
      </c>
      <c r="G243" s="11">
        <v>1899</v>
      </c>
      <c r="H243" s="11">
        <v>6</v>
      </c>
      <c r="I243" s="11" t="s">
        <v>12</v>
      </c>
      <c r="J243" s="11" t="s">
        <v>11</v>
      </c>
      <c r="K243" s="11">
        <v>1899</v>
      </c>
      <c r="L243" s="11">
        <v>950</v>
      </c>
      <c r="M243" s="11">
        <v>1096</v>
      </c>
      <c r="N243" s="11">
        <v>9</v>
      </c>
      <c r="O243" s="12">
        <v>45665</v>
      </c>
      <c r="P243" s="11" t="s">
        <v>41</v>
      </c>
      <c r="Q243" s="11" t="s">
        <v>42</v>
      </c>
      <c r="R243" s="11">
        <v>7</v>
      </c>
      <c r="S243" s="11">
        <v>9</v>
      </c>
      <c r="T243" s="11" t="s">
        <v>82</v>
      </c>
      <c r="U243" s="11" t="s">
        <v>83</v>
      </c>
      <c r="V243" s="11" t="s">
        <v>84</v>
      </c>
      <c r="W243" s="11" t="s">
        <v>66</v>
      </c>
      <c r="X243" s="13">
        <v>45681</v>
      </c>
    </row>
    <row r="244" spans="1:24" x14ac:dyDescent="0.3">
      <c r="A244" s="8">
        <v>243</v>
      </c>
      <c r="B244" s="8">
        <v>1096</v>
      </c>
      <c r="C244" s="8">
        <v>9</v>
      </c>
      <c r="D244" s="8">
        <v>2</v>
      </c>
      <c r="E244" s="8">
        <v>199</v>
      </c>
      <c r="F244" s="8">
        <v>0.1</v>
      </c>
      <c r="G244" s="8">
        <v>358</v>
      </c>
      <c r="H244" s="8">
        <v>9</v>
      </c>
      <c r="I244" s="8" t="s">
        <v>17</v>
      </c>
      <c r="J244" s="8" t="s">
        <v>16</v>
      </c>
      <c r="K244" s="8">
        <v>199</v>
      </c>
      <c r="L244" s="8">
        <v>65</v>
      </c>
      <c r="M244" s="8">
        <v>1096</v>
      </c>
      <c r="N244" s="8">
        <v>9</v>
      </c>
      <c r="O244" s="9">
        <v>45665</v>
      </c>
      <c r="P244" s="8" t="s">
        <v>41</v>
      </c>
      <c r="Q244" s="8" t="s">
        <v>42</v>
      </c>
      <c r="R244" s="8">
        <v>7</v>
      </c>
      <c r="S244" s="8">
        <v>9</v>
      </c>
      <c r="T244" s="8" t="s">
        <v>82</v>
      </c>
      <c r="U244" s="8" t="s">
        <v>83</v>
      </c>
      <c r="V244" s="8" t="s">
        <v>84</v>
      </c>
      <c r="W244" s="8" t="s">
        <v>66</v>
      </c>
      <c r="X244" s="10">
        <v>45681</v>
      </c>
    </row>
    <row r="245" spans="1:24" x14ac:dyDescent="0.3">
      <c r="A245" s="11">
        <v>244</v>
      </c>
      <c r="B245" s="11">
        <v>1097</v>
      </c>
      <c r="C245" s="11">
        <v>15</v>
      </c>
      <c r="D245" s="11">
        <v>1</v>
      </c>
      <c r="E245" s="11">
        <v>349</v>
      </c>
      <c r="F245" s="11">
        <v>0.15</v>
      </c>
      <c r="G245" s="11">
        <v>297</v>
      </c>
      <c r="H245" s="11">
        <v>15</v>
      </c>
      <c r="I245" s="11" t="s">
        <v>24</v>
      </c>
      <c r="J245" s="11" t="s">
        <v>11</v>
      </c>
      <c r="K245" s="11">
        <v>349</v>
      </c>
      <c r="L245" s="11">
        <v>120</v>
      </c>
      <c r="M245" s="11">
        <v>1097</v>
      </c>
      <c r="N245" s="11">
        <v>29</v>
      </c>
      <c r="O245" s="12">
        <v>45843</v>
      </c>
      <c r="P245" s="11" t="s">
        <v>48</v>
      </c>
      <c r="Q245" s="11" t="s">
        <v>45</v>
      </c>
      <c r="R245" s="11">
        <v>0</v>
      </c>
      <c r="S245" s="11">
        <v>29</v>
      </c>
      <c r="T245" s="11" t="s">
        <v>116</v>
      </c>
      <c r="U245" s="11" t="s">
        <v>83</v>
      </c>
      <c r="V245" s="11" t="s">
        <v>84</v>
      </c>
      <c r="W245" s="11" t="s">
        <v>62</v>
      </c>
      <c r="X245" s="13">
        <v>45645</v>
      </c>
    </row>
    <row r="246" spans="1:24" x14ac:dyDescent="0.3">
      <c r="A246" s="8">
        <v>245</v>
      </c>
      <c r="B246" s="8">
        <v>1098</v>
      </c>
      <c r="C246" s="8">
        <v>1</v>
      </c>
      <c r="D246" s="8">
        <v>1</v>
      </c>
      <c r="E246" s="8">
        <v>799</v>
      </c>
      <c r="F246" s="8">
        <v>0</v>
      </c>
      <c r="G246" s="8">
        <v>799</v>
      </c>
      <c r="H246" s="8">
        <v>1</v>
      </c>
      <c r="I246" s="8" t="s">
        <v>5</v>
      </c>
      <c r="J246" s="8" t="s">
        <v>6</v>
      </c>
      <c r="K246" s="8">
        <v>799</v>
      </c>
      <c r="L246" s="8">
        <v>420</v>
      </c>
      <c r="M246" s="8">
        <v>1098</v>
      </c>
      <c r="N246" s="8">
        <v>3</v>
      </c>
      <c r="O246" s="9">
        <v>45995</v>
      </c>
      <c r="P246" s="8" t="s">
        <v>48</v>
      </c>
      <c r="Q246" s="8" t="s">
        <v>43</v>
      </c>
      <c r="R246" s="8">
        <v>0</v>
      </c>
      <c r="S246" s="8">
        <v>3</v>
      </c>
      <c r="T246" s="8" t="s">
        <v>63</v>
      </c>
      <c r="U246" s="8" t="s">
        <v>64</v>
      </c>
      <c r="V246" s="8" t="s">
        <v>65</v>
      </c>
      <c r="W246" s="8" t="s">
        <v>66</v>
      </c>
      <c r="X246" s="10">
        <v>44952</v>
      </c>
    </row>
    <row r="247" spans="1:24" x14ac:dyDescent="0.3">
      <c r="A247" s="11">
        <v>246</v>
      </c>
      <c r="B247" s="11">
        <v>1098</v>
      </c>
      <c r="C247" s="11">
        <v>2</v>
      </c>
      <c r="D247" s="11">
        <v>1</v>
      </c>
      <c r="E247" s="11">
        <v>2499</v>
      </c>
      <c r="F247" s="11">
        <v>0.1</v>
      </c>
      <c r="G247" s="11">
        <v>2249</v>
      </c>
      <c r="H247" s="11">
        <v>2</v>
      </c>
      <c r="I247" s="11" t="s">
        <v>7</v>
      </c>
      <c r="J247" s="11" t="s">
        <v>6</v>
      </c>
      <c r="K247" s="11">
        <v>2499</v>
      </c>
      <c r="L247" s="11">
        <v>1500</v>
      </c>
      <c r="M247" s="11">
        <v>1098</v>
      </c>
      <c r="N247" s="11">
        <v>3</v>
      </c>
      <c r="O247" s="12">
        <v>45995</v>
      </c>
      <c r="P247" s="11" t="s">
        <v>48</v>
      </c>
      <c r="Q247" s="11" t="s">
        <v>43</v>
      </c>
      <c r="R247" s="11">
        <v>0</v>
      </c>
      <c r="S247" s="11">
        <v>3</v>
      </c>
      <c r="T247" s="11" t="s">
        <v>63</v>
      </c>
      <c r="U247" s="11" t="s">
        <v>64</v>
      </c>
      <c r="V247" s="11" t="s">
        <v>65</v>
      </c>
      <c r="W247" s="11" t="s">
        <v>66</v>
      </c>
      <c r="X247" s="13">
        <v>44952</v>
      </c>
    </row>
    <row r="248" spans="1:24" x14ac:dyDescent="0.3">
      <c r="A248" s="8">
        <v>247</v>
      </c>
      <c r="B248" s="8">
        <v>1098</v>
      </c>
      <c r="C248" s="8">
        <v>16</v>
      </c>
      <c r="D248" s="8">
        <v>1</v>
      </c>
      <c r="E248" s="8">
        <v>1599</v>
      </c>
      <c r="F248" s="8">
        <v>0</v>
      </c>
      <c r="G248" s="8">
        <v>1599</v>
      </c>
      <c r="H248" s="8">
        <v>16</v>
      </c>
      <c r="I248" s="8" t="s">
        <v>25</v>
      </c>
      <c r="J248" s="8" t="s">
        <v>6</v>
      </c>
      <c r="K248" s="8">
        <v>1599</v>
      </c>
      <c r="L248" s="8">
        <v>900</v>
      </c>
      <c r="M248" s="8">
        <v>1098</v>
      </c>
      <c r="N248" s="8">
        <v>3</v>
      </c>
      <c r="O248" s="9">
        <v>45995</v>
      </c>
      <c r="P248" s="8" t="s">
        <v>48</v>
      </c>
      <c r="Q248" s="8" t="s">
        <v>43</v>
      </c>
      <c r="R248" s="8">
        <v>0</v>
      </c>
      <c r="S248" s="8">
        <v>3</v>
      </c>
      <c r="T248" s="8" t="s">
        <v>63</v>
      </c>
      <c r="U248" s="8" t="s">
        <v>64</v>
      </c>
      <c r="V248" s="8" t="s">
        <v>65</v>
      </c>
      <c r="W248" s="8" t="s">
        <v>66</v>
      </c>
      <c r="X248" s="10">
        <v>44952</v>
      </c>
    </row>
    <row r="249" spans="1:24" x14ac:dyDescent="0.3">
      <c r="A249" s="11">
        <v>248</v>
      </c>
      <c r="B249" s="11">
        <v>1098</v>
      </c>
      <c r="C249" s="11">
        <v>13</v>
      </c>
      <c r="D249" s="11">
        <v>1</v>
      </c>
      <c r="E249" s="11">
        <v>10999</v>
      </c>
      <c r="F249" s="11">
        <v>0</v>
      </c>
      <c r="G249" s="11">
        <v>10999</v>
      </c>
      <c r="H249" s="11">
        <v>13</v>
      </c>
      <c r="I249" s="11" t="s">
        <v>22</v>
      </c>
      <c r="J249" s="11" t="s">
        <v>6</v>
      </c>
      <c r="K249" s="11">
        <v>10999</v>
      </c>
      <c r="L249" s="11">
        <v>7900</v>
      </c>
      <c r="M249" s="11">
        <v>1098</v>
      </c>
      <c r="N249" s="11">
        <v>3</v>
      </c>
      <c r="O249" s="12">
        <v>45995</v>
      </c>
      <c r="P249" s="11" t="s">
        <v>48</v>
      </c>
      <c r="Q249" s="11" t="s">
        <v>43</v>
      </c>
      <c r="R249" s="11">
        <v>0</v>
      </c>
      <c r="S249" s="11">
        <v>3</v>
      </c>
      <c r="T249" s="11" t="s">
        <v>63</v>
      </c>
      <c r="U249" s="11" t="s">
        <v>64</v>
      </c>
      <c r="V249" s="11" t="s">
        <v>65</v>
      </c>
      <c r="W249" s="11" t="s">
        <v>66</v>
      </c>
      <c r="X249" s="13">
        <v>44952</v>
      </c>
    </row>
    <row r="250" spans="1:24" x14ac:dyDescent="0.3">
      <c r="A250" s="8">
        <v>249</v>
      </c>
      <c r="B250" s="8">
        <v>1099</v>
      </c>
      <c r="C250" s="8">
        <v>13</v>
      </c>
      <c r="D250" s="8">
        <v>1</v>
      </c>
      <c r="E250" s="8">
        <v>10999</v>
      </c>
      <c r="F250" s="8">
        <v>0.15</v>
      </c>
      <c r="G250" s="8">
        <v>9349</v>
      </c>
      <c r="H250" s="8">
        <v>13</v>
      </c>
      <c r="I250" s="8" t="s">
        <v>22</v>
      </c>
      <c r="J250" s="8" t="s">
        <v>6</v>
      </c>
      <c r="K250" s="8">
        <v>10999</v>
      </c>
      <c r="L250" s="8">
        <v>7900</v>
      </c>
      <c r="M250" s="8">
        <v>1099</v>
      </c>
      <c r="N250" s="8">
        <v>5</v>
      </c>
      <c r="O250" s="9">
        <v>45722</v>
      </c>
      <c r="P250" s="8" t="s">
        <v>41</v>
      </c>
      <c r="Q250" s="8" t="s">
        <v>45</v>
      </c>
      <c r="R250" s="8">
        <v>5</v>
      </c>
      <c r="S250" s="8">
        <v>5</v>
      </c>
      <c r="T250" s="8" t="s">
        <v>70</v>
      </c>
      <c r="U250" s="8" t="s">
        <v>71</v>
      </c>
      <c r="V250" s="8" t="s">
        <v>72</v>
      </c>
      <c r="W250" s="8" t="s">
        <v>62</v>
      </c>
      <c r="X250" s="10">
        <v>45208</v>
      </c>
    </row>
    <row r="251" spans="1:24" x14ac:dyDescent="0.3">
      <c r="A251" s="11">
        <v>250</v>
      </c>
      <c r="B251" s="11">
        <v>1099</v>
      </c>
      <c r="C251" s="11">
        <v>17</v>
      </c>
      <c r="D251" s="11">
        <v>1</v>
      </c>
      <c r="E251" s="11">
        <v>8499</v>
      </c>
      <c r="F251" s="11">
        <v>0.2</v>
      </c>
      <c r="G251" s="11">
        <v>6799</v>
      </c>
      <c r="H251" s="11">
        <v>17</v>
      </c>
      <c r="I251" s="11" t="s">
        <v>26</v>
      </c>
      <c r="J251" s="11" t="s">
        <v>14</v>
      </c>
      <c r="K251" s="11">
        <v>8499</v>
      </c>
      <c r="L251" s="11">
        <v>6100</v>
      </c>
      <c r="M251" s="11">
        <v>1099</v>
      </c>
      <c r="N251" s="11">
        <v>5</v>
      </c>
      <c r="O251" s="12">
        <v>45722</v>
      </c>
      <c r="P251" s="11" t="s">
        <v>41</v>
      </c>
      <c r="Q251" s="11" t="s">
        <v>45</v>
      </c>
      <c r="R251" s="11">
        <v>5</v>
      </c>
      <c r="S251" s="11">
        <v>5</v>
      </c>
      <c r="T251" s="11" t="s">
        <v>70</v>
      </c>
      <c r="U251" s="11" t="s">
        <v>71</v>
      </c>
      <c r="V251" s="11" t="s">
        <v>72</v>
      </c>
      <c r="W251" s="11" t="s">
        <v>62</v>
      </c>
      <c r="X251" s="13">
        <v>45208</v>
      </c>
    </row>
    <row r="252" spans="1:24" x14ac:dyDescent="0.3">
      <c r="A252" s="8">
        <v>251</v>
      </c>
      <c r="B252" s="8">
        <v>1099</v>
      </c>
      <c r="C252" s="8">
        <v>10</v>
      </c>
      <c r="D252" s="8">
        <v>1</v>
      </c>
      <c r="E252" s="8">
        <v>599</v>
      </c>
      <c r="F252" s="8">
        <v>0.2</v>
      </c>
      <c r="G252" s="8">
        <v>479</v>
      </c>
      <c r="H252" s="8">
        <v>10</v>
      </c>
      <c r="I252" s="8" t="s">
        <v>18</v>
      </c>
      <c r="J252" s="8" t="s">
        <v>19</v>
      </c>
      <c r="K252" s="8">
        <v>599</v>
      </c>
      <c r="L252" s="8">
        <v>260</v>
      </c>
      <c r="M252" s="8">
        <v>1099</v>
      </c>
      <c r="N252" s="8">
        <v>5</v>
      </c>
      <c r="O252" s="9">
        <v>45722</v>
      </c>
      <c r="P252" s="8" t="s">
        <v>41</v>
      </c>
      <c r="Q252" s="8" t="s">
        <v>45</v>
      </c>
      <c r="R252" s="8">
        <v>5</v>
      </c>
      <c r="S252" s="8">
        <v>5</v>
      </c>
      <c r="T252" s="8" t="s">
        <v>70</v>
      </c>
      <c r="U252" s="8" t="s">
        <v>71</v>
      </c>
      <c r="V252" s="8" t="s">
        <v>72</v>
      </c>
      <c r="W252" s="8" t="s">
        <v>62</v>
      </c>
      <c r="X252" s="10">
        <v>45208</v>
      </c>
    </row>
    <row r="253" spans="1:24" x14ac:dyDescent="0.3">
      <c r="A253" s="11">
        <v>252</v>
      </c>
      <c r="B253" s="11">
        <v>1100</v>
      </c>
      <c r="C253" s="11">
        <v>11</v>
      </c>
      <c r="D253" s="11">
        <v>2</v>
      </c>
      <c r="E253" s="11">
        <v>1099</v>
      </c>
      <c r="F253" s="11">
        <v>0.05</v>
      </c>
      <c r="G253" s="11">
        <v>2088</v>
      </c>
      <c r="H253" s="11">
        <v>11</v>
      </c>
      <c r="I253" s="11" t="s">
        <v>20</v>
      </c>
      <c r="J253" s="11" t="s">
        <v>19</v>
      </c>
      <c r="K253" s="11">
        <v>1099</v>
      </c>
      <c r="L253" s="11">
        <v>570</v>
      </c>
      <c r="M253" s="11">
        <v>1100</v>
      </c>
      <c r="N253" s="11">
        <v>36</v>
      </c>
      <c r="O253" s="12">
        <v>45768</v>
      </c>
      <c r="P253" s="11" t="s">
        <v>41</v>
      </c>
      <c r="Q253" s="11" t="s">
        <v>42</v>
      </c>
      <c r="R253" s="11">
        <v>4</v>
      </c>
      <c r="S253" s="11">
        <v>36</v>
      </c>
      <c r="T253" s="11" t="s">
        <v>123</v>
      </c>
      <c r="U253" s="11" t="s">
        <v>99</v>
      </c>
      <c r="V253" s="11" t="s">
        <v>75</v>
      </c>
      <c r="W253" s="11" t="s">
        <v>66</v>
      </c>
      <c r="X253" s="13">
        <v>45755</v>
      </c>
    </row>
    <row r="254" spans="1:24" x14ac:dyDescent="0.3">
      <c r="A254" s="8">
        <v>253</v>
      </c>
      <c r="B254" s="8">
        <v>1100</v>
      </c>
      <c r="C254" s="8">
        <v>15</v>
      </c>
      <c r="D254" s="8">
        <v>1</v>
      </c>
      <c r="E254" s="8">
        <v>349</v>
      </c>
      <c r="F254" s="8">
        <v>0.2</v>
      </c>
      <c r="G254" s="8">
        <v>279</v>
      </c>
      <c r="H254" s="8">
        <v>15</v>
      </c>
      <c r="I254" s="8" t="s">
        <v>24</v>
      </c>
      <c r="J254" s="8" t="s">
        <v>11</v>
      </c>
      <c r="K254" s="8">
        <v>349</v>
      </c>
      <c r="L254" s="8">
        <v>120</v>
      </c>
      <c r="M254" s="8">
        <v>1100</v>
      </c>
      <c r="N254" s="8">
        <v>36</v>
      </c>
      <c r="O254" s="9">
        <v>45768</v>
      </c>
      <c r="P254" s="8" t="s">
        <v>41</v>
      </c>
      <c r="Q254" s="8" t="s">
        <v>42</v>
      </c>
      <c r="R254" s="8">
        <v>4</v>
      </c>
      <c r="S254" s="8">
        <v>36</v>
      </c>
      <c r="T254" s="8" t="s">
        <v>123</v>
      </c>
      <c r="U254" s="8" t="s">
        <v>99</v>
      </c>
      <c r="V254" s="8" t="s">
        <v>75</v>
      </c>
      <c r="W254" s="8" t="s">
        <v>66</v>
      </c>
      <c r="X254" s="10">
        <v>45755</v>
      </c>
    </row>
    <row r="255" spans="1:24" x14ac:dyDescent="0.3">
      <c r="A255" s="11">
        <v>254</v>
      </c>
      <c r="B255" s="11">
        <v>1100</v>
      </c>
      <c r="C255" s="11">
        <v>13</v>
      </c>
      <c r="D255" s="11">
        <v>1</v>
      </c>
      <c r="E255" s="11">
        <v>10999</v>
      </c>
      <c r="F255" s="11">
        <v>0</v>
      </c>
      <c r="G255" s="11">
        <v>10999</v>
      </c>
      <c r="H255" s="11">
        <v>13</v>
      </c>
      <c r="I255" s="11" t="s">
        <v>22</v>
      </c>
      <c r="J255" s="11" t="s">
        <v>6</v>
      </c>
      <c r="K255" s="11">
        <v>10999</v>
      </c>
      <c r="L255" s="11">
        <v>7900</v>
      </c>
      <c r="M255" s="11">
        <v>1100</v>
      </c>
      <c r="N255" s="11">
        <v>36</v>
      </c>
      <c r="O255" s="12">
        <v>45768</v>
      </c>
      <c r="P255" s="11" t="s">
        <v>41</v>
      </c>
      <c r="Q255" s="11" t="s">
        <v>42</v>
      </c>
      <c r="R255" s="11">
        <v>4</v>
      </c>
      <c r="S255" s="11">
        <v>36</v>
      </c>
      <c r="T255" s="11" t="s">
        <v>123</v>
      </c>
      <c r="U255" s="11" t="s">
        <v>99</v>
      </c>
      <c r="V255" s="11" t="s">
        <v>75</v>
      </c>
      <c r="W255" s="11" t="s">
        <v>66</v>
      </c>
      <c r="X255" s="13">
        <v>45755</v>
      </c>
    </row>
    <row r="256" spans="1:24" x14ac:dyDescent="0.3">
      <c r="A256" s="8">
        <v>255</v>
      </c>
      <c r="B256" s="8">
        <v>1100</v>
      </c>
      <c r="C256" s="8">
        <v>14</v>
      </c>
      <c r="D256" s="8">
        <v>2</v>
      </c>
      <c r="E256" s="8">
        <v>2499</v>
      </c>
      <c r="F256" s="8">
        <v>0.1</v>
      </c>
      <c r="G256" s="8">
        <v>4498</v>
      </c>
      <c r="H256" s="8">
        <v>14</v>
      </c>
      <c r="I256" s="8" t="s">
        <v>23</v>
      </c>
      <c r="J256" s="8" t="s">
        <v>6</v>
      </c>
      <c r="K256" s="8">
        <v>2499</v>
      </c>
      <c r="L256" s="8">
        <v>1500</v>
      </c>
      <c r="M256" s="8">
        <v>1100</v>
      </c>
      <c r="N256" s="8">
        <v>36</v>
      </c>
      <c r="O256" s="9">
        <v>45768</v>
      </c>
      <c r="P256" s="8" t="s">
        <v>41</v>
      </c>
      <c r="Q256" s="8" t="s">
        <v>42</v>
      </c>
      <c r="R256" s="8">
        <v>4</v>
      </c>
      <c r="S256" s="8">
        <v>36</v>
      </c>
      <c r="T256" s="8" t="s">
        <v>123</v>
      </c>
      <c r="U256" s="8" t="s">
        <v>99</v>
      </c>
      <c r="V256" s="8" t="s">
        <v>75</v>
      </c>
      <c r="W256" s="8" t="s">
        <v>66</v>
      </c>
      <c r="X256" s="10">
        <v>45755</v>
      </c>
    </row>
    <row r="257" spans="1:24" x14ac:dyDescent="0.3">
      <c r="A257" s="11">
        <v>256</v>
      </c>
      <c r="B257" s="11">
        <v>1101</v>
      </c>
      <c r="C257" s="11">
        <v>14</v>
      </c>
      <c r="D257" s="11">
        <v>1</v>
      </c>
      <c r="E257" s="11">
        <v>2499</v>
      </c>
      <c r="F257" s="11">
        <v>0.2</v>
      </c>
      <c r="G257" s="11">
        <v>1999</v>
      </c>
      <c r="H257" s="11">
        <v>14</v>
      </c>
      <c r="I257" s="11" t="s">
        <v>23</v>
      </c>
      <c r="J257" s="11" t="s">
        <v>6</v>
      </c>
      <c r="K257" s="11">
        <v>2499</v>
      </c>
      <c r="L257" s="11">
        <v>1500</v>
      </c>
      <c r="M257" s="11">
        <v>1101</v>
      </c>
      <c r="N257" s="11">
        <v>5</v>
      </c>
      <c r="O257" s="12">
        <v>45704</v>
      </c>
      <c r="P257" s="11" t="s">
        <v>47</v>
      </c>
      <c r="Q257" s="11" t="s">
        <v>46</v>
      </c>
      <c r="R257" s="11">
        <v>0</v>
      </c>
      <c r="S257" s="11">
        <v>5</v>
      </c>
      <c r="T257" s="11" t="s">
        <v>70</v>
      </c>
      <c r="U257" s="11" t="s">
        <v>71</v>
      </c>
      <c r="V257" s="11" t="s">
        <v>72</v>
      </c>
      <c r="W257" s="11" t="s">
        <v>62</v>
      </c>
      <c r="X257" s="13">
        <v>45208</v>
      </c>
    </row>
    <row r="258" spans="1:24" x14ac:dyDescent="0.3">
      <c r="A258" s="8">
        <v>257</v>
      </c>
      <c r="B258" s="8">
        <v>1102</v>
      </c>
      <c r="C258" s="8">
        <v>4</v>
      </c>
      <c r="D258" s="8">
        <v>2</v>
      </c>
      <c r="E258" s="8">
        <v>2199</v>
      </c>
      <c r="F258" s="8">
        <v>0.1</v>
      </c>
      <c r="G258" s="8">
        <v>3958</v>
      </c>
      <c r="H258" s="8">
        <v>4</v>
      </c>
      <c r="I258" s="8" t="s">
        <v>9</v>
      </c>
      <c r="J258" s="8" t="s">
        <v>6</v>
      </c>
      <c r="K258" s="8">
        <v>2199</v>
      </c>
      <c r="L258" s="8">
        <v>1250</v>
      </c>
      <c r="M258" s="8">
        <v>1102</v>
      </c>
      <c r="N258" s="8">
        <v>24</v>
      </c>
      <c r="O258" s="9">
        <v>45724</v>
      </c>
      <c r="P258" s="8" t="s">
        <v>48</v>
      </c>
      <c r="Q258" s="8" t="s">
        <v>46</v>
      </c>
      <c r="R258" s="8">
        <v>0</v>
      </c>
      <c r="S258" s="8">
        <v>24</v>
      </c>
      <c r="T258" s="8" t="s">
        <v>111</v>
      </c>
      <c r="U258" s="8" t="s">
        <v>68</v>
      </c>
      <c r="V258" s="8" t="s">
        <v>69</v>
      </c>
      <c r="W258" s="8" t="s">
        <v>66</v>
      </c>
      <c r="X258" s="10">
        <v>44954</v>
      </c>
    </row>
    <row r="259" spans="1:24" x14ac:dyDescent="0.3">
      <c r="A259" s="11">
        <v>258</v>
      </c>
      <c r="B259" s="11">
        <v>1102</v>
      </c>
      <c r="C259" s="11">
        <v>14</v>
      </c>
      <c r="D259" s="11">
        <v>2</v>
      </c>
      <c r="E259" s="11">
        <v>2499</v>
      </c>
      <c r="F259" s="11">
        <v>0.2</v>
      </c>
      <c r="G259" s="11">
        <v>3998</v>
      </c>
      <c r="H259" s="11">
        <v>14</v>
      </c>
      <c r="I259" s="11" t="s">
        <v>23</v>
      </c>
      <c r="J259" s="11" t="s">
        <v>6</v>
      </c>
      <c r="K259" s="11">
        <v>2499</v>
      </c>
      <c r="L259" s="11">
        <v>1500</v>
      </c>
      <c r="M259" s="11">
        <v>1102</v>
      </c>
      <c r="N259" s="11">
        <v>24</v>
      </c>
      <c r="O259" s="12">
        <v>45724</v>
      </c>
      <c r="P259" s="11" t="s">
        <v>48</v>
      </c>
      <c r="Q259" s="11" t="s">
        <v>46</v>
      </c>
      <c r="R259" s="11">
        <v>0</v>
      </c>
      <c r="S259" s="11">
        <v>24</v>
      </c>
      <c r="T259" s="11" t="s">
        <v>111</v>
      </c>
      <c r="U259" s="11" t="s">
        <v>68</v>
      </c>
      <c r="V259" s="11" t="s">
        <v>69</v>
      </c>
      <c r="W259" s="11" t="s">
        <v>66</v>
      </c>
      <c r="X259" s="13">
        <v>44954</v>
      </c>
    </row>
    <row r="260" spans="1:24" x14ac:dyDescent="0.3">
      <c r="A260" s="8">
        <v>259</v>
      </c>
      <c r="B260" s="8">
        <v>1102</v>
      </c>
      <c r="C260" s="8">
        <v>12</v>
      </c>
      <c r="D260" s="8">
        <v>1</v>
      </c>
      <c r="E260" s="8">
        <v>399</v>
      </c>
      <c r="F260" s="8">
        <v>0.05</v>
      </c>
      <c r="G260" s="8">
        <v>379</v>
      </c>
      <c r="H260" s="8">
        <v>12</v>
      </c>
      <c r="I260" s="8" t="s">
        <v>21</v>
      </c>
      <c r="J260" s="8" t="s">
        <v>14</v>
      </c>
      <c r="K260" s="8">
        <v>399</v>
      </c>
      <c r="L260" s="8">
        <v>140</v>
      </c>
      <c r="M260" s="8">
        <v>1102</v>
      </c>
      <c r="N260" s="8">
        <v>24</v>
      </c>
      <c r="O260" s="9">
        <v>45724</v>
      </c>
      <c r="P260" s="8" t="s">
        <v>48</v>
      </c>
      <c r="Q260" s="8" t="s">
        <v>46</v>
      </c>
      <c r="R260" s="8">
        <v>0</v>
      </c>
      <c r="S260" s="8">
        <v>24</v>
      </c>
      <c r="T260" s="8" t="s">
        <v>111</v>
      </c>
      <c r="U260" s="8" t="s">
        <v>68</v>
      </c>
      <c r="V260" s="8" t="s">
        <v>69</v>
      </c>
      <c r="W260" s="8" t="s">
        <v>66</v>
      </c>
      <c r="X260" s="10">
        <v>44954</v>
      </c>
    </row>
    <row r="261" spans="1:24" x14ac:dyDescent="0.3">
      <c r="A261" s="11">
        <v>260</v>
      </c>
      <c r="B261" s="11">
        <v>1103</v>
      </c>
      <c r="C261" s="11">
        <v>5</v>
      </c>
      <c r="D261" s="11">
        <v>1</v>
      </c>
      <c r="E261" s="11">
        <v>1299</v>
      </c>
      <c r="F261" s="11">
        <v>0</v>
      </c>
      <c r="G261" s="11">
        <v>1299</v>
      </c>
      <c r="H261" s="11">
        <v>5</v>
      </c>
      <c r="I261" s="11" t="s">
        <v>10</v>
      </c>
      <c r="J261" s="11" t="s">
        <v>11</v>
      </c>
      <c r="K261" s="11">
        <v>1299</v>
      </c>
      <c r="L261" s="11">
        <v>650</v>
      </c>
      <c r="M261" s="11">
        <v>1103</v>
      </c>
      <c r="N261" s="11">
        <v>39</v>
      </c>
      <c r="O261" s="12">
        <v>45817</v>
      </c>
      <c r="P261" s="11" t="s">
        <v>41</v>
      </c>
      <c r="Q261" s="11" t="s">
        <v>45</v>
      </c>
      <c r="R261" s="11">
        <v>1</v>
      </c>
      <c r="S261" s="11">
        <v>39</v>
      </c>
      <c r="T261" s="11" t="s">
        <v>126</v>
      </c>
      <c r="U261" s="11" t="s">
        <v>105</v>
      </c>
      <c r="V261" s="11" t="s">
        <v>84</v>
      </c>
      <c r="W261" s="11" t="s">
        <v>66</v>
      </c>
      <c r="X261" s="13">
        <v>45752</v>
      </c>
    </row>
    <row r="262" spans="1:24" x14ac:dyDescent="0.3">
      <c r="A262" s="8">
        <v>261</v>
      </c>
      <c r="B262" s="8">
        <v>1103</v>
      </c>
      <c r="C262" s="8">
        <v>16</v>
      </c>
      <c r="D262" s="8">
        <v>1</v>
      </c>
      <c r="E262" s="8">
        <v>1599</v>
      </c>
      <c r="F262" s="8">
        <v>0.15</v>
      </c>
      <c r="G262" s="8">
        <v>1359</v>
      </c>
      <c r="H262" s="8">
        <v>16</v>
      </c>
      <c r="I262" s="8" t="s">
        <v>25</v>
      </c>
      <c r="J262" s="8" t="s">
        <v>6</v>
      </c>
      <c r="K262" s="8">
        <v>1599</v>
      </c>
      <c r="L262" s="8">
        <v>900</v>
      </c>
      <c r="M262" s="8">
        <v>1103</v>
      </c>
      <c r="N262" s="8">
        <v>39</v>
      </c>
      <c r="O262" s="9">
        <v>45817</v>
      </c>
      <c r="P262" s="8" t="s">
        <v>41</v>
      </c>
      <c r="Q262" s="8" t="s">
        <v>45</v>
      </c>
      <c r="R262" s="8">
        <v>1</v>
      </c>
      <c r="S262" s="8">
        <v>39</v>
      </c>
      <c r="T262" s="8" t="s">
        <v>126</v>
      </c>
      <c r="U262" s="8" t="s">
        <v>105</v>
      </c>
      <c r="V262" s="8" t="s">
        <v>84</v>
      </c>
      <c r="W262" s="8" t="s">
        <v>66</v>
      </c>
      <c r="X262" s="10">
        <v>45752</v>
      </c>
    </row>
    <row r="263" spans="1:24" x14ac:dyDescent="0.3">
      <c r="A263" s="11">
        <v>262</v>
      </c>
      <c r="B263" s="11">
        <v>1104</v>
      </c>
      <c r="C263" s="11">
        <v>14</v>
      </c>
      <c r="D263" s="11">
        <v>3</v>
      </c>
      <c r="E263" s="11">
        <v>2499</v>
      </c>
      <c r="F263" s="11">
        <v>0.15</v>
      </c>
      <c r="G263" s="11">
        <v>6372</v>
      </c>
      <c r="H263" s="11">
        <v>14</v>
      </c>
      <c r="I263" s="11" t="s">
        <v>23</v>
      </c>
      <c r="J263" s="11" t="s">
        <v>6</v>
      </c>
      <c r="K263" s="11">
        <v>2499</v>
      </c>
      <c r="L263" s="11">
        <v>1500</v>
      </c>
      <c r="M263" s="11">
        <v>1104</v>
      </c>
      <c r="N263" s="11">
        <v>24</v>
      </c>
      <c r="O263" s="12">
        <v>45716</v>
      </c>
      <c r="P263" s="11" t="s">
        <v>47</v>
      </c>
      <c r="Q263" s="11" t="s">
        <v>43</v>
      </c>
      <c r="R263" s="11">
        <v>0</v>
      </c>
      <c r="S263" s="11">
        <v>24</v>
      </c>
      <c r="T263" s="11" t="s">
        <v>111</v>
      </c>
      <c r="U263" s="11" t="s">
        <v>68</v>
      </c>
      <c r="V263" s="11" t="s">
        <v>69</v>
      </c>
      <c r="W263" s="11" t="s">
        <v>66</v>
      </c>
      <c r="X263" s="13">
        <v>44954</v>
      </c>
    </row>
    <row r="264" spans="1:24" x14ac:dyDescent="0.3">
      <c r="A264" s="8">
        <v>263</v>
      </c>
      <c r="B264" s="8">
        <v>1104</v>
      </c>
      <c r="C264" s="8">
        <v>18</v>
      </c>
      <c r="D264" s="8">
        <v>1</v>
      </c>
      <c r="E264" s="8">
        <v>3299</v>
      </c>
      <c r="F264" s="8">
        <v>0.2</v>
      </c>
      <c r="G264" s="8">
        <v>2639</v>
      </c>
      <c r="H264" s="8">
        <v>18</v>
      </c>
      <c r="I264" s="8" t="s">
        <v>27</v>
      </c>
      <c r="J264" s="8" t="s">
        <v>19</v>
      </c>
      <c r="K264" s="8">
        <v>3299</v>
      </c>
      <c r="L264" s="8">
        <v>2050</v>
      </c>
      <c r="M264" s="8">
        <v>1104</v>
      </c>
      <c r="N264" s="8">
        <v>24</v>
      </c>
      <c r="O264" s="9">
        <v>45716</v>
      </c>
      <c r="P264" s="8" t="s">
        <v>47</v>
      </c>
      <c r="Q264" s="8" t="s">
        <v>43</v>
      </c>
      <c r="R264" s="8">
        <v>0</v>
      </c>
      <c r="S264" s="8">
        <v>24</v>
      </c>
      <c r="T264" s="8" t="s">
        <v>111</v>
      </c>
      <c r="U264" s="8" t="s">
        <v>68</v>
      </c>
      <c r="V264" s="8" t="s">
        <v>69</v>
      </c>
      <c r="W264" s="8" t="s">
        <v>66</v>
      </c>
      <c r="X264" s="10">
        <v>44954</v>
      </c>
    </row>
    <row r="265" spans="1:24" x14ac:dyDescent="0.3">
      <c r="A265" s="11">
        <v>264</v>
      </c>
      <c r="B265" s="11">
        <v>1105</v>
      </c>
      <c r="C265" s="11">
        <v>6</v>
      </c>
      <c r="D265" s="11">
        <v>1</v>
      </c>
      <c r="E265" s="11">
        <v>1899</v>
      </c>
      <c r="F265" s="11">
        <v>0.05</v>
      </c>
      <c r="G265" s="11">
        <v>1804</v>
      </c>
      <c r="H265" s="11">
        <v>6</v>
      </c>
      <c r="I265" s="11" t="s">
        <v>12</v>
      </c>
      <c r="J265" s="11" t="s">
        <v>11</v>
      </c>
      <c r="K265" s="11">
        <v>1899</v>
      </c>
      <c r="L265" s="11">
        <v>950</v>
      </c>
      <c r="M265" s="11">
        <v>1105</v>
      </c>
      <c r="N265" s="11">
        <v>36</v>
      </c>
      <c r="O265" s="12">
        <v>45671</v>
      </c>
      <c r="P265" s="11" t="s">
        <v>48</v>
      </c>
      <c r="Q265" s="11" t="s">
        <v>43</v>
      </c>
      <c r="R265" s="11">
        <v>0</v>
      </c>
      <c r="S265" s="11">
        <v>36</v>
      </c>
      <c r="T265" s="11" t="s">
        <v>123</v>
      </c>
      <c r="U265" s="11" t="s">
        <v>99</v>
      </c>
      <c r="V265" s="11" t="s">
        <v>75</v>
      </c>
      <c r="W265" s="11" t="s">
        <v>66</v>
      </c>
      <c r="X265" s="13">
        <v>45755</v>
      </c>
    </row>
    <row r="266" spans="1:24" x14ac:dyDescent="0.3">
      <c r="A266" s="8">
        <v>265</v>
      </c>
      <c r="B266" s="8">
        <v>1106</v>
      </c>
      <c r="C266" s="8">
        <v>3</v>
      </c>
      <c r="D266" s="8">
        <v>2</v>
      </c>
      <c r="E266" s="8">
        <v>1799</v>
      </c>
      <c r="F266" s="8">
        <v>0</v>
      </c>
      <c r="G266" s="8">
        <v>3598</v>
      </c>
      <c r="H266" s="8">
        <v>3</v>
      </c>
      <c r="I266" s="8" t="s">
        <v>8</v>
      </c>
      <c r="J266" s="8" t="s">
        <v>6</v>
      </c>
      <c r="K266" s="8">
        <v>1799</v>
      </c>
      <c r="L266" s="8">
        <v>980</v>
      </c>
      <c r="M266" s="8">
        <v>1106</v>
      </c>
      <c r="N266" s="8">
        <v>22</v>
      </c>
      <c r="O266" s="9">
        <v>45837</v>
      </c>
      <c r="P266" s="8" t="s">
        <v>41</v>
      </c>
      <c r="Q266" s="8" t="s">
        <v>42</v>
      </c>
      <c r="R266" s="8">
        <v>2</v>
      </c>
      <c r="S266" s="8">
        <v>22</v>
      </c>
      <c r="T266" s="8" t="s">
        <v>109</v>
      </c>
      <c r="U266" s="8" t="s">
        <v>60</v>
      </c>
      <c r="V266" s="8" t="s">
        <v>61</v>
      </c>
      <c r="W266" s="8" t="s">
        <v>58</v>
      </c>
      <c r="X266" s="10">
        <v>45444</v>
      </c>
    </row>
    <row r="267" spans="1:24" x14ac:dyDescent="0.3">
      <c r="A267" s="11">
        <v>266</v>
      </c>
      <c r="B267" s="11">
        <v>1106</v>
      </c>
      <c r="C267" s="11">
        <v>5</v>
      </c>
      <c r="D267" s="11">
        <v>1</v>
      </c>
      <c r="E267" s="11">
        <v>1299</v>
      </c>
      <c r="F267" s="11">
        <v>0.1</v>
      </c>
      <c r="G267" s="11">
        <v>1169</v>
      </c>
      <c r="H267" s="11">
        <v>5</v>
      </c>
      <c r="I267" s="11" t="s">
        <v>10</v>
      </c>
      <c r="J267" s="11" t="s">
        <v>11</v>
      </c>
      <c r="K267" s="11">
        <v>1299</v>
      </c>
      <c r="L267" s="11">
        <v>650</v>
      </c>
      <c r="M267" s="11">
        <v>1106</v>
      </c>
      <c r="N267" s="11">
        <v>22</v>
      </c>
      <c r="O267" s="12">
        <v>45837</v>
      </c>
      <c r="P267" s="11" t="s">
        <v>41</v>
      </c>
      <c r="Q267" s="11" t="s">
        <v>42</v>
      </c>
      <c r="R267" s="11">
        <v>2</v>
      </c>
      <c r="S267" s="11">
        <v>22</v>
      </c>
      <c r="T267" s="11" t="s">
        <v>109</v>
      </c>
      <c r="U267" s="11" t="s">
        <v>60</v>
      </c>
      <c r="V267" s="11" t="s">
        <v>61</v>
      </c>
      <c r="W267" s="11" t="s">
        <v>58</v>
      </c>
      <c r="X267" s="13">
        <v>45444</v>
      </c>
    </row>
    <row r="268" spans="1:24" x14ac:dyDescent="0.3">
      <c r="A268" s="8">
        <v>267</v>
      </c>
      <c r="B268" s="8">
        <v>1106</v>
      </c>
      <c r="C268" s="8">
        <v>1</v>
      </c>
      <c r="D268" s="8">
        <v>1</v>
      </c>
      <c r="E268" s="8">
        <v>799</v>
      </c>
      <c r="F268" s="8">
        <v>0.05</v>
      </c>
      <c r="G268" s="8">
        <v>759</v>
      </c>
      <c r="H268" s="8">
        <v>1</v>
      </c>
      <c r="I268" s="8" t="s">
        <v>5</v>
      </c>
      <c r="J268" s="8" t="s">
        <v>6</v>
      </c>
      <c r="K268" s="8">
        <v>799</v>
      </c>
      <c r="L268" s="8">
        <v>420</v>
      </c>
      <c r="M268" s="8">
        <v>1106</v>
      </c>
      <c r="N268" s="8">
        <v>22</v>
      </c>
      <c r="O268" s="9">
        <v>45837</v>
      </c>
      <c r="P268" s="8" t="s">
        <v>41</v>
      </c>
      <c r="Q268" s="8" t="s">
        <v>42</v>
      </c>
      <c r="R268" s="8">
        <v>2</v>
      </c>
      <c r="S268" s="8">
        <v>22</v>
      </c>
      <c r="T268" s="8" t="s">
        <v>109</v>
      </c>
      <c r="U268" s="8" t="s">
        <v>60</v>
      </c>
      <c r="V268" s="8" t="s">
        <v>61</v>
      </c>
      <c r="W268" s="8" t="s">
        <v>58</v>
      </c>
      <c r="X268" s="10">
        <v>45444</v>
      </c>
    </row>
    <row r="269" spans="1:24" x14ac:dyDescent="0.3">
      <c r="A269" s="11">
        <v>268</v>
      </c>
      <c r="B269" s="11">
        <v>1106</v>
      </c>
      <c r="C269" s="11">
        <v>20</v>
      </c>
      <c r="D269" s="11">
        <v>1</v>
      </c>
      <c r="E269" s="11">
        <v>449</v>
      </c>
      <c r="F269" s="11">
        <v>0.05</v>
      </c>
      <c r="G269" s="11">
        <v>427</v>
      </c>
      <c r="H269" s="11">
        <v>20</v>
      </c>
      <c r="I269" s="11" t="s">
        <v>29</v>
      </c>
      <c r="J269" s="11" t="s">
        <v>16</v>
      </c>
      <c r="K269" s="11">
        <v>449</v>
      </c>
      <c r="L269" s="11">
        <v>180</v>
      </c>
      <c r="M269" s="11">
        <v>1106</v>
      </c>
      <c r="N269" s="11">
        <v>22</v>
      </c>
      <c r="O269" s="12">
        <v>45837</v>
      </c>
      <c r="P269" s="11" t="s">
        <v>41</v>
      </c>
      <c r="Q269" s="11" t="s">
        <v>42</v>
      </c>
      <c r="R269" s="11">
        <v>2</v>
      </c>
      <c r="S269" s="11">
        <v>22</v>
      </c>
      <c r="T269" s="11" t="s">
        <v>109</v>
      </c>
      <c r="U269" s="11" t="s">
        <v>60</v>
      </c>
      <c r="V269" s="11" t="s">
        <v>61</v>
      </c>
      <c r="W269" s="11" t="s">
        <v>58</v>
      </c>
      <c r="X269" s="13">
        <v>45444</v>
      </c>
    </row>
    <row r="270" spans="1:24" x14ac:dyDescent="0.3">
      <c r="A270" s="8">
        <v>269</v>
      </c>
      <c r="B270" s="8">
        <v>1107</v>
      </c>
      <c r="C270" s="8">
        <v>20</v>
      </c>
      <c r="D270" s="8">
        <v>2</v>
      </c>
      <c r="E270" s="8">
        <v>449</v>
      </c>
      <c r="F270" s="8">
        <v>0.05</v>
      </c>
      <c r="G270" s="8">
        <v>853</v>
      </c>
      <c r="H270" s="8">
        <v>20</v>
      </c>
      <c r="I270" s="8" t="s">
        <v>29</v>
      </c>
      <c r="J270" s="8" t="s">
        <v>16</v>
      </c>
      <c r="K270" s="8">
        <v>449</v>
      </c>
      <c r="L270" s="8">
        <v>180</v>
      </c>
      <c r="M270" s="8">
        <v>1107</v>
      </c>
      <c r="N270" s="8">
        <v>37</v>
      </c>
      <c r="O270" s="9">
        <v>45963</v>
      </c>
      <c r="P270" s="8" t="s">
        <v>41</v>
      </c>
      <c r="Q270" s="8" t="s">
        <v>42</v>
      </c>
      <c r="R270" s="8">
        <v>1</v>
      </c>
      <c r="S270" s="8">
        <v>37</v>
      </c>
      <c r="T270" s="8" t="s">
        <v>124</v>
      </c>
      <c r="U270" s="8" t="s">
        <v>101</v>
      </c>
      <c r="V270" s="8" t="s">
        <v>78</v>
      </c>
      <c r="W270" s="8" t="s">
        <v>58</v>
      </c>
      <c r="X270" s="10">
        <v>44933</v>
      </c>
    </row>
    <row r="271" spans="1:24" x14ac:dyDescent="0.3">
      <c r="A271" s="11">
        <v>270</v>
      </c>
      <c r="B271" s="11">
        <v>1107</v>
      </c>
      <c r="C271" s="11">
        <v>2</v>
      </c>
      <c r="D271" s="11">
        <v>1</v>
      </c>
      <c r="E271" s="11">
        <v>2499</v>
      </c>
      <c r="F271" s="11">
        <v>0.1</v>
      </c>
      <c r="G271" s="11">
        <v>2249</v>
      </c>
      <c r="H271" s="11">
        <v>2</v>
      </c>
      <c r="I271" s="11" t="s">
        <v>7</v>
      </c>
      <c r="J271" s="11" t="s">
        <v>6</v>
      </c>
      <c r="K271" s="11">
        <v>2499</v>
      </c>
      <c r="L271" s="11">
        <v>1500</v>
      </c>
      <c r="M271" s="11">
        <v>1107</v>
      </c>
      <c r="N271" s="11">
        <v>37</v>
      </c>
      <c r="O271" s="12">
        <v>45963</v>
      </c>
      <c r="P271" s="11" t="s">
        <v>41</v>
      </c>
      <c r="Q271" s="11" t="s">
        <v>42</v>
      </c>
      <c r="R271" s="11">
        <v>1</v>
      </c>
      <c r="S271" s="11">
        <v>37</v>
      </c>
      <c r="T271" s="11" t="s">
        <v>124</v>
      </c>
      <c r="U271" s="11" t="s">
        <v>101</v>
      </c>
      <c r="V271" s="11" t="s">
        <v>78</v>
      </c>
      <c r="W271" s="11" t="s">
        <v>58</v>
      </c>
      <c r="X271" s="13">
        <v>44933</v>
      </c>
    </row>
    <row r="272" spans="1:24" x14ac:dyDescent="0.3">
      <c r="A272" s="8">
        <v>271</v>
      </c>
      <c r="B272" s="8">
        <v>1108</v>
      </c>
      <c r="C272" s="8">
        <v>17</v>
      </c>
      <c r="D272" s="8">
        <v>1</v>
      </c>
      <c r="E272" s="8">
        <v>8499</v>
      </c>
      <c r="F272" s="8">
        <v>0</v>
      </c>
      <c r="G272" s="8">
        <v>8499</v>
      </c>
      <c r="H272" s="8">
        <v>17</v>
      </c>
      <c r="I272" s="8" t="s">
        <v>26</v>
      </c>
      <c r="J272" s="8" t="s">
        <v>14</v>
      </c>
      <c r="K272" s="8">
        <v>8499</v>
      </c>
      <c r="L272" s="8">
        <v>6100</v>
      </c>
      <c r="M272" s="8">
        <v>1108</v>
      </c>
      <c r="N272" s="8">
        <v>32</v>
      </c>
      <c r="O272" s="9">
        <v>45968</v>
      </c>
      <c r="P272" s="8" t="s">
        <v>41</v>
      </c>
      <c r="Q272" s="8" t="s">
        <v>43</v>
      </c>
      <c r="R272" s="8">
        <v>4</v>
      </c>
      <c r="S272" s="8">
        <v>32</v>
      </c>
      <c r="T272" s="8" t="s">
        <v>119</v>
      </c>
      <c r="U272" s="8" t="s">
        <v>91</v>
      </c>
      <c r="V272" s="8" t="s">
        <v>61</v>
      </c>
      <c r="W272" s="8" t="s">
        <v>62</v>
      </c>
      <c r="X272" s="10">
        <v>45152</v>
      </c>
    </row>
    <row r="273" spans="1:24" x14ac:dyDescent="0.3">
      <c r="A273" s="11">
        <v>272</v>
      </c>
      <c r="B273" s="11">
        <v>1108</v>
      </c>
      <c r="C273" s="11">
        <v>4</v>
      </c>
      <c r="D273" s="11">
        <v>1</v>
      </c>
      <c r="E273" s="11">
        <v>2199</v>
      </c>
      <c r="F273" s="11">
        <v>0.2</v>
      </c>
      <c r="G273" s="11">
        <v>1759</v>
      </c>
      <c r="H273" s="11">
        <v>4</v>
      </c>
      <c r="I273" s="11" t="s">
        <v>9</v>
      </c>
      <c r="J273" s="11" t="s">
        <v>6</v>
      </c>
      <c r="K273" s="11">
        <v>2199</v>
      </c>
      <c r="L273" s="11">
        <v>1250</v>
      </c>
      <c r="M273" s="11">
        <v>1108</v>
      </c>
      <c r="N273" s="11">
        <v>32</v>
      </c>
      <c r="O273" s="12">
        <v>45968</v>
      </c>
      <c r="P273" s="11" t="s">
        <v>41</v>
      </c>
      <c r="Q273" s="11" t="s">
        <v>43</v>
      </c>
      <c r="R273" s="11">
        <v>4</v>
      </c>
      <c r="S273" s="11">
        <v>32</v>
      </c>
      <c r="T273" s="11" t="s">
        <v>119</v>
      </c>
      <c r="U273" s="11" t="s">
        <v>91</v>
      </c>
      <c r="V273" s="11" t="s">
        <v>61</v>
      </c>
      <c r="W273" s="11" t="s">
        <v>62</v>
      </c>
      <c r="X273" s="13">
        <v>45152</v>
      </c>
    </row>
    <row r="274" spans="1:24" x14ac:dyDescent="0.3">
      <c r="A274" s="8">
        <v>273</v>
      </c>
      <c r="B274" s="8">
        <v>1109</v>
      </c>
      <c r="C274" s="8">
        <v>8</v>
      </c>
      <c r="D274" s="8">
        <v>1</v>
      </c>
      <c r="E274" s="8">
        <v>299</v>
      </c>
      <c r="F274" s="8">
        <v>0.15</v>
      </c>
      <c r="G274" s="8">
        <v>254</v>
      </c>
      <c r="H274" s="8">
        <v>8</v>
      </c>
      <c r="I274" s="8" t="s">
        <v>15</v>
      </c>
      <c r="J274" s="8" t="s">
        <v>16</v>
      </c>
      <c r="K274" s="8">
        <v>299</v>
      </c>
      <c r="L274" s="8">
        <v>110</v>
      </c>
      <c r="M274" s="8">
        <v>1109</v>
      </c>
      <c r="N274" s="8">
        <v>38</v>
      </c>
      <c r="O274" s="9">
        <v>45907</v>
      </c>
      <c r="P274" s="8" t="s">
        <v>48</v>
      </c>
      <c r="Q274" s="8" t="s">
        <v>43</v>
      </c>
      <c r="R274" s="8">
        <v>0</v>
      </c>
      <c r="S274" s="8">
        <v>38</v>
      </c>
      <c r="T274" s="8" t="s">
        <v>125</v>
      </c>
      <c r="U274" s="8" t="s">
        <v>103</v>
      </c>
      <c r="V274" s="8" t="s">
        <v>81</v>
      </c>
      <c r="W274" s="8" t="s">
        <v>62</v>
      </c>
      <c r="X274" s="10">
        <v>45704</v>
      </c>
    </row>
    <row r="275" spans="1:24" x14ac:dyDescent="0.3">
      <c r="A275" s="11">
        <v>274</v>
      </c>
      <c r="B275" s="11">
        <v>1110</v>
      </c>
      <c r="C275" s="11">
        <v>9</v>
      </c>
      <c r="D275" s="11">
        <v>1</v>
      </c>
      <c r="E275" s="11">
        <v>199</v>
      </c>
      <c r="F275" s="11">
        <v>0</v>
      </c>
      <c r="G275" s="11">
        <v>199</v>
      </c>
      <c r="H275" s="11">
        <v>9</v>
      </c>
      <c r="I275" s="11" t="s">
        <v>17</v>
      </c>
      <c r="J275" s="11" t="s">
        <v>16</v>
      </c>
      <c r="K275" s="11">
        <v>199</v>
      </c>
      <c r="L275" s="11">
        <v>65</v>
      </c>
      <c r="M275" s="11">
        <v>1110</v>
      </c>
      <c r="N275" s="11">
        <v>4</v>
      </c>
      <c r="O275" s="12">
        <v>45661</v>
      </c>
      <c r="P275" s="11" t="s">
        <v>41</v>
      </c>
      <c r="Q275" s="11" t="s">
        <v>42</v>
      </c>
      <c r="R275" s="11">
        <v>3</v>
      </c>
      <c r="S275" s="11">
        <v>4</v>
      </c>
      <c r="T275" s="11" t="s">
        <v>67</v>
      </c>
      <c r="U275" s="11" t="s">
        <v>68</v>
      </c>
      <c r="V275" s="11" t="s">
        <v>69</v>
      </c>
      <c r="W275" s="11" t="s">
        <v>58</v>
      </c>
      <c r="X275" s="13">
        <v>45686</v>
      </c>
    </row>
    <row r="276" spans="1:24" x14ac:dyDescent="0.3">
      <c r="A276" s="8">
        <v>275</v>
      </c>
      <c r="B276" s="8">
        <v>1110</v>
      </c>
      <c r="C276" s="8">
        <v>10</v>
      </c>
      <c r="D276" s="8">
        <v>1</v>
      </c>
      <c r="E276" s="8">
        <v>599</v>
      </c>
      <c r="F276" s="8">
        <v>0.1</v>
      </c>
      <c r="G276" s="8">
        <v>539</v>
      </c>
      <c r="H276" s="8">
        <v>10</v>
      </c>
      <c r="I276" s="8" t="s">
        <v>18</v>
      </c>
      <c r="J276" s="8" t="s">
        <v>19</v>
      </c>
      <c r="K276" s="8">
        <v>599</v>
      </c>
      <c r="L276" s="8">
        <v>260</v>
      </c>
      <c r="M276" s="8">
        <v>1110</v>
      </c>
      <c r="N276" s="8">
        <v>4</v>
      </c>
      <c r="O276" s="9">
        <v>45661</v>
      </c>
      <c r="P276" s="8" t="s">
        <v>41</v>
      </c>
      <c r="Q276" s="8" t="s">
        <v>42</v>
      </c>
      <c r="R276" s="8">
        <v>3</v>
      </c>
      <c r="S276" s="8">
        <v>4</v>
      </c>
      <c r="T276" s="8" t="s">
        <v>67</v>
      </c>
      <c r="U276" s="8" t="s">
        <v>68</v>
      </c>
      <c r="V276" s="8" t="s">
        <v>69</v>
      </c>
      <c r="W276" s="8" t="s">
        <v>58</v>
      </c>
      <c r="X276" s="10">
        <v>45686</v>
      </c>
    </row>
    <row r="277" spans="1:24" x14ac:dyDescent="0.3">
      <c r="A277" s="11">
        <v>276</v>
      </c>
      <c r="B277" s="11">
        <v>1111</v>
      </c>
      <c r="C277" s="11">
        <v>3</v>
      </c>
      <c r="D277" s="11">
        <v>1</v>
      </c>
      <c r="E277" s="11">
        <v>1799</v>
      </c>
      <c r="F277" s="11">
        <v>0.1</v>
      </c>
      <c r="G277" s="11">
        <v>1619</v>
      </c>
      <c r="H277" s="11">
        <v>3</v>
      </c>
      <c r="I277" s="11" t="s">
        <v>8</v>
      </c>
      <c r="J277" s="11" t="s">
        <v>6</v>
      </c>
      <c r="K277" s="11">
        <v>1799</v>
      </c>
      <c r="L277" s="11">
        <v>980</v>
      </c>
      <c r="M277" s="11">
        <v>1111</v>
      </c>
      <c r="N277" s="11">
        <v>12</v>
      </c>
      <c r="O277" s="12">
        <v>45724</v>
      </c>
      <c r="P277" s="11" t="s">
        <v>41</v>
      </c>
      <c r="Q277" s="11" t="s">
        <v>42</v>
      </c>
      <c r="R277" s="11">
        <v>5</v>
      </c>
      <c r="S277" s="11">
        <v>12</v>
      </c>
      <c r="T277" s="11" t="s">
        <v>90</v>
      </c>
      <c r="U277" s="11" t="s">
        <v>91</v>
      </c>
      <c r="V277" s="11" t="s">
        <v>61</v>
      </c>
      <c r="W277" s="11" t="s">
        <v>66</v>
      </c>
      <c r="X277" s="13">
        <v>45685</v>
      </c>
    </row>
    <row r="278" spans="1:24" x14ac:dyDescent="0.3">
      <c r="A278" s="8">
        <v>277</v>
      </c>
      <c r="B278" s="8">
        <v>1111</v>
      </c>
      <c r="C278" s="8">
        <v>13</v>
      </c>
      <c r="D278" s="8">
        <v>2</v>
      </c>
      <c r="E278" s="8">
        <v>10999</v>
      </c>
      <c r="F278" s="8">
        <v>0.05</v>
      </c>
      <c r="G278" s="8">
        <v>20898</v>
      </c>
      <c r="H278" s="8">
        <v>13</v>
      </c>
      <c r="I278" s="8" t="s">
        <v>22</v>
      </c>
      <c r="J278" s="8" t="s">
        <v>6</v>
      </c>
      <c r="K278" s="8">
        <v>10999</v>
      </c>
      <c r="L278" s="8">
        <v>7900</v>
      </c>
      <c r="M278" s="8">
        <v>1111</v>
      </c>
      <c r="N278" s="8">
        <v>12</v>
      </c>
      <c r="O278" s="9">
        <v>45724</v>
      </c>
      <c r="P278" s="8" t="s">
        <v>41</v>
      </c>
      <c r="Q278" s="8" t="s">
        <v>42</v>
      </c>
      <c r="R278" s="8">
        <v>5</v>
      </c>
      <c r="S278" s="8">
        <v>12</v>
      </c>
      <c r="T278" s="8" t="s">
        <v>90</v>
      </c>
      <c r="U278" s="8" t="s">
        <v>91</v>
      </c>
      <c r="V278" s="8" t="s">
        <v>61</v>
      </c>
      <c r="W278" s="8" t="s">
        <v>66</v>
      </c>
      <c r="X278" s="10">
        <v>45685</v>
      </c>
    </row>
    <row r="279" spans="1:24" x14ac:dyDescent="0.3">
      <c r="A279" s="11">
        <v>278</v>
      </c>
      <c r="B279" s="11">
        <v>1111</v>
      </c>
      <c r="C279" s="11">
        <v>2</v>
      </c>
      <c r="D279" s="11">
        <v>1</v>
      </c>
      <c r="E279" s="11">
        <v>2499</v>
      </c>
      <c r="F279" s="11">
        <v>0.15</v>
      </c>
      <c r="G279" s="11">
        <v>2124</v>
      </c>
      <c r="H279" s="11">
        <v>2</v>
      </c>
      <c r="I279" s="11" t="s">
        <v>7</v>
      </c>
      <c r="J279" s="11" t="s">
        <v>6</v>
      </c>
      <c r="K279" s="11">
        <v>2499</v>
      </c>
      <c r="L279" s="11">
        <v>1500</v>
      </c>
      <c r="M279" s="11">
        <v>1111</v>
      </c>
      <c r="N279" s="11">
        <v>12</v>
      </c>
      <c r="O279" s="12">
        <v>45724</v>
      </c>
      <c r="P279" s="11" t="s">
        <v>41</v>
      </c>
      <c r="Q279" s="11" t="s">
        <v>42</v>
      </c>
      <c r="R279" s="11">
        <v>5</v>
      </c>
      <c r="S279" s="11">
        <v>12</v>
      </c>
      <c r="T279" s="11" t="s">
        <v>90</v>
      </c>
      <c r="U279" s="11" t="s">
        <v>91</v>
      </c>
      <c r="V279" s="11" t="s">
        <v>61</v>
      </c>
      <c r="W279" s="11" t="s">
        <v>66</v>
      </c>
      <c r="X279" s="13">
        <v>45685</v>
      </c>
    </row>
    <row r="280" spans="1:24" x14ac:dyDescent="0.3">
      <c r="A280" s="8">
        <v>279</v>
      </c>
      <c r="B280" s="8">
        <v>1112</v>
      </c>
      <c r="C280" s="8">
        <v>13</v>
      </c>
      <c r="D280" s="8">
        <v>1</v>
      </c>
      <c r="E280" s="8">
        <v>10999</v>
      </c>
      <c r="F280" s="8">
        <v>0.05</v>
      </c>
      <c r="G280" s="8">
        <v>10449</v>
      </c>
      <c r="H280" s="8">
        <v>13</v>
      </c>
      <c r="I280" s="8" t="s">
        <v>22</v>
      </c>
      <c r="J280" s="8" t="s">
        <v>6</v>
      </c>
      <c r="K280" s="8">
        <v>10999</v>
      </c>
      <c r="L280" s="8">
        <v>7900</v>
      </c>
      <c r="M280" s="8">
        <v>1112</v>
      </c>
      <c r="N280" s="8">
        <v>26</v>
      </c>
      <c r="O280" s="9">
        <v>46021</v>
      </c>
      <c r="P280" s="8" t="s">
        <v>44</v>
      </c>
      <c r="Q280" s="8" t="s">
        <v>43</v>
      </c>
      <c r="R280" s="8">
        <v>4</v>
      </c>
      <c r="S280" s="8">
        <v>26</v>
      </c>
      <c r="T280" s="8" t="s">
        <v>113</v>
      </c>
      <c r="U280" s="8" t="s">
        <v>74</v>
      </c>
      <c r="V280" s="8" t="s">
        <v>75</v>
      </c>
      <c r="W280" s="8" t="s">
        <v>62</v>
      </c>
      <c r="X280" s="10">
        <v>45130</v>
      </c>
    </row>
    <row r="281" spans="1:24" x14ac:dyDescent="0.3">
      <c r="A281" s="11">
        <v>280</v>
      </c>
      <c r="B281" s="11">
        <v>1113</v>
      </c>
      <c r="C281" s="11">
        <v>14</v>
      </c>
      <c r="D281" s="11">
        <v>2</v>
      </c>
      <c r="E281" s="11">
        <v>2499</v>
      </c>
      <c r="F281" s="11">
        <v>0</v>
      </c>
      <c r="G281" s="11">
        <v>4998</v>
      </c>
      <c r="H281" s="11">
        <v>14</v>
      </c>
      <c r="I281" s="11" t="s">
        <v>23</v>
      </c>
      <c r="J281" s="11" t="s">
        <v>6</v>
      </c>
      <c r="K281" s="11">
        <v>2499</v>
      </c>
      <c r="L281" s="11">
        <v>1500</v>
      </c>
      <c r="M281" s="11">
        <v>1113</v>
      </c>
      <c r="N281" s="11">
        <v>11</v>
      </c>
      <c r="O281" s="12">
        <v>45974</v>
      </c>
      <c r="P281" s="11" t="s">
        <v>41</v>
      </c>
      <c r="Q281" s="11" t="s">
        <v>43</v>
      </c>
      <c r="R281" s="11">
        <v>7</v>
      </c>
      <c r="S281" s="11">
        <v>11</v>
      </c>
      <c r="T281" s="11" t="s">
        <v>88</v>
      </c>
      <c r="U281" s="11" t="s">
        <v>89</v>
      </c>
      <c r="V281" s="11" t="s">
        <v>57</v>
      </c>
      <c r="W281" s="11" t="s">
        <v>62</v>
      </c>
      <c r="X281" s="13">
        <v>45619</v>
      </c>
    </row>
    <row r="282" spans="1:24" x14ac:dyDescent="0.3">
      <c r="A282" s="8">
        <v>281</v>
      </c>
      <c r="B282" s="8">
        <v>1114</v>
      </c>
      <c r="C282" s="8">
        <v>10</v>
      </c>
      <c r="D282" s="8">
        <v>2</v>
      </c>
      <c r="E282" s="8">
        <v>599</v>
      </c>
      <c r="F282" s="8">
        <v>0</v>
      </c>
      <c r="G282" s="8">
        <v>1198</v>
      </c>
      <c r="H282" s="8">
        <v>10</v>
      </c>
      <c r="I282" s="8" t="s">
        <v>18</v>
      </c>
      <c r="J282" s="8" t="s">
        <v>19</v>
      </c>
      <c r="K282" s="8">
        <v>599</v>
      </c>
      <c r="L282" s="8">
        <v>260</v>
      </c>
      <c r="M282" s="8">
        <v>1114</v>
      </c>
      <c r="N282" s="8">
        <v>28</v>
      </c>
      <c r="O282" s="9">
        <v>45959</v>
      </c>
      <c r="P282" s="8" t="s">
        <v>41</v>
      </c>
      <c r="Q282" s="8" t="s">
        <v>46</v>
      </c>
      <c r="R282" s="8">
        <v>5</v>
      </c>
      <c r="S282" s="8">
        <v>28</v>
      </c>
      <c r="T282" s="8" t="s">
        <v>115</v>
      </c>
      <c r="U282" s="8" t="s">
        <v>80</v>
      </c>
      <c r="V282" s="8" t="s">
        <v>81</v>
      </c>
      <c r="W282" s="8" t="s">
        <v>58</v>
      </c>
      <c r="X282" s="10">
        <v>45592</v>
      </c>
    </row>
    <row r="283" spans="1:24" x14ac:dyDescent="0.3">
      <c r="A283" s="11">
        <v>282</v>
      </c>
      <c r="B283" s="11">
        <v>1114</v>
      </c>
      <c r="C283" s="11">
        <v>11</v>
      </c>
      <c r="D283" s="11">
        <v>1</v>
      </c>
      <c r="E283" s="11">
        <v>1099</v>
      </c>
      <c r="F283" s="11">
        <v>0</v>
      </c>
      <c r="G283" s="11">
        <v>1099</v>
      </c>
      <c r="H283" s="11">
        <v>11</v>
      </c>
      <c r="I283" s="11" t="s">
        <v>20</v>
      </c>
      <c r="J283" s="11" t="s">
        <v>19</v>
      </c>
      <c r="K283" s="11">
        <v>1099</v>
      </c>
      <c r="L283" s="11">
        <v>570</v>
      </c>
      <c r="M283" s="11">
        <v>1114</v>
      </c>
      <c r="N283" s="11">
        <v>28</v>
      </c>
      <c r="O283" s="12">
        <v>45959</v>
      </c>
      <c r="P283" s="11" t="s">
        <v>41</v>
      </c>
      <c r="Q283" s="11" t="s">
        <v>46</v>
      </c>
      <c r="R283" s="11">
        <v>5</v>
      </c>
      <c r="S283" s="11">
        <v>28</v>
      </c>
      <c r="T283" s="11" t="s">
        <v>115</v>
      </c>
      <c r="U283" s="11" t="s">
        <v>80</v>
      </c>
      <c r="V283" s="11" t="s">
        <v>81</v>
      </c>
      <c r="W283" s="11" t="s">
        <v>58</v>
      </c>
      <c r="X283" s="13">
        <v>45592</v>
      </c>
    </row>
    <row r="284" spans="1:24" x14ac:dyDescent="0.3">
      <c r="A284" s="8">
        <v>283</v>
      </c>
      <c r="B284" s="8">
        <v>1114</v>
      </c>
      <c r="C284" s="8">
        <v>8</v>
      </c>
      <c r="D284" s="8">
        <v>1</v>
      </c>
      <c r="E284" s="8">
        <v>299</v>
      </c>
      <c r="F284" s="8">
        <v>0</v>
      </c>
      <c r="G284" s="8">
        <v>299</v>
      </c>
      <c r="H284" s="8">
        <v>8</v>
      </c>
      <c r="I284" s="8" t="s">
        <v>15</v>
      </c>
      <c r="J284" s="8" t="s">
        <v>16</v>
      </c>
      <c r="K284" s="8">
        <v>299</v>
      </c>
      <c r="L284" s="8">
        <v>110</v>
      </c>
      <c r="M284" s="8">
        <v>1114</v>
      </c>
      <c r="N284" s="8">
        <v>28</v>
      </c>
      <c r="O284" s="9">
        <v>45959</v>
      </c>
      <c r="P284" s="8" t="s">
        <v>41</v>
      </c>
      <c r="Q284" s="8" t="s">
        <v>46</v>
      </c>
      <c r="R284" s="8">
        <v>5</v>
      </c>
      <c r="S284" s="8">
        <v>28</v>
      </c>
      <c r="T284" s="8" t="s">
        <v>115</v>
      </c>
      <c r="U284" s="8" t="s">
        <v>80</v>
      </c>
      <c r="V284" s="8" t="s">
        <v>81</v>
      </c>
      <c r="W284" s="8" t="s">
        <v>58</v>
      </c>
      <c r="X284" s="10">
        <v>45592</v>
      </c>
    </row>
    <row r="285" spans="1:24" x14ac:dyDescent="0.3">
      <c r="A285" s="11">
        <v>284</v>
      </c>
      <c r="B285" s="11">
        <v>1114</v>
      </c>
      <c r="C285" s="11">
        <v>19</v>
      </c>
      <c r="D285" s="11">
        <v>2</v>
      </c>
      <c r="E285" s="11">
        <v>499</v>
      </c>
      <c r="F285" s="11">
        <v>0.05</v>
      </c>
      <c r="G285" s="11">
        <v>948</v>
      </c>
      <c r="H285" s="11">
        <v>19</v>
      </c>
      <c r="I285" s="11" t="s">
        <v>28</v>
      </c>
      <c r="J285" s="11" t="s">
        <v>11</v>
      </c>
      <c r="K285" s="11">
        <v>499</v>
      </c>
      <c r="L285" s="11">
        <v>220</v>
      </c>
      <c r="M285" s="11">
        <v>1114</v>
      </c>
      <c r="N285" s="11">
        <v>28</v>
      </c>
      <c r="O285" s="12">
        <v>45959</v>
      </c>
      <c r="P285" s="11" t="s">
        <v>41</v>
      </c>
      <c r="Q285" s="11" t="s">
        <v>46</v>
      </c>
      <c r="R285" s="11">
        <v>5</v>
      </c>
      <c r="S285" s="11">
        <v>28</v>
      </c>
      <c r="T285" s="11" t="s">
        <v>115</v>
      </c>
      <c r="U285" s="11" t="s">
        <v>80</v>
      </c>
      <c r="V285" s="11" t="s">
        <v>81</v>
      </c>
      <c r="W285" s="11" t="s">
        <v>58</v>
      </c>
      <c r="X285" s="13">
        <v>45592</v>
      </c>
    </row>
    <row r="286" spans="1:24" x14ac:dyDescent="0.3">
      <c r="A286" s="8">
        <v>285</v>
      </c>
      <c r="B286" s="8">
        <v>1115</v>
      </c>
      <c r="C286" s="8">
        <v>4</v>
      </c>
      <c r="D286" s="8">
        <v>1</v>
      </c>
      <c r="E286" s="8">
        <v>2199</v>
      </c>
      <c r="F286" s="8">
        <v>0</v>
      </c>
      <c r="G286" s="8">
        <v>2199</v>
      </c>
      <c r="H286" s="8">
        <v>4</v>
      </c>
      <c r="I286" s="8" t="s">
        <v>9</v>
      </c>
      <c r="J286" s="8" t="s">
        <v>6</v>
      </c>
      <c r="K286" s="8">
        <v>2199</v>
      </c>
      <c r="L286" s="8">
        <v>1250</v>
      </c>
      <c r="M286" s="8">
        <v>1115</v>
      </c>
      <c r="N286" s="8">
        <v>23</v>
      </c>
      <c r="O286" s="9">
        <v>45988</v>
      </c>
      <c r="P286" s="8" t="s">
        <v>47</v>
      </c>
      <c r="Q286" s="8" t="s">
        <v>42</v>
      </c>
      <c r="R286" s="8">
        <v>0</v>
      </c>
      <c r="S286" s="8">
        <v>23</v>
      </c>
      <c r="T286" s="8" t="s">
        <v>110</v>
      </c>
      <c r="U286" s="8" t="s">
        <v>64</v>
      </c>
      <c r="V286" s="8" t="s">
        <v>65</v>
      </c>
      <c r="W286" s="8" t="s">
        <v>62</v>
      </c>
      <c r="X286" s="10">
        <v>45543</v>
      </c>
    </row>
    <row r="287" spans="1:24" x14ac:dyDescent="0.3">
      <c r="A287" s="11">
        <v>286</v>
      </c>
      <c r="B287" s="11">
        <v>1115</v>
      </c>
      <c r="C287" s="11">
        <v>5</v>
      </c>
      <c r="D287" s="11">
        <v>1</v>
      </c>
      <c r="E287" s="11">
        <v>1299</v>
      </c>
      <c r="F287" s="11">
        <v>0.2</v>
      </c>
      <c r="G287" s="11">
        <v>1039</v>
      </c>
      <c r="H287" s="11">
        <v>5</v>
      </c>
      <c r="I287" s="11" t="s">
        <v>10</v>
      </c>
      <c r="J287" s="11" t="s">
        <v>11</v>
      </c>
      <c r="K287" s="11">
        <v>1299</v>
      </c>
      <c r="L287" s="11">
        <v>650</v>
      </c>
      <c r="M287" s="11">
        <v>1115</v>
      </c>
      <c r="N287" s="11">
        <v>23</v>
      </c>
      <c r="O287" s="12">
        <v>45988</v>
      </c>
      <c r="P287" s="11" t="s">
        <v>47</v>
      </c>
      <c r="Q287" s="11" t="s">
        <v>42</v>
      </c>
      <c r="R287" s="11">
        <v>0</v>
      </c>
      <c r="S287" s="11">
        <v>23</v>
      </c>
      <c r="T287" s="11" t="s">
        <v>110</v>
      </c>
      <c r="U287" s="11" t="s">
        <v>64</v>
      </c>
      <c r="V287" s="11" t="s">
        <v>65</v>
      </c>
      <c r="W287" s="11" t="s">
        <v>62</v>
      </c>
      <c r="X287" s="13">
        <v>45543</v>
      </c>
    </row>
    <row r="288" spans="1:24" x14ac:dyDescent="0.3">
      <c r="A288" s="8">
        <v>287</v>
      </c>
      <c r="B288" s="8">
        <v>1116</v>
      </c>
      <c r="C288" s="8">
        <v>19</v>
      </c>
      <c r="D288" s="8">
        <v>2</v>
      </c>
      <c r="E288" s="8">
        <v>499</v>
      </c>
      <c r="F288" s="8">
        <v>0.2</v>
      </c>
      <c r="G288" s="8">
        <v>798</v>
      </c>
      <c r="H288" s="8">
        <v>19</v>
      </c>
      <c r="I288" s="8" t="s">
        <v>28</v>
      </c>
      <c r="J288" s="8" t="s">
        <v>11</v>
      </c>
      <c r="K288" s="8">
        <v>499</v>
      </c>
      <c r="L288" s="8">
        <v>220</v>
      </c>
      <c r="M288" s="8">
        <v>1116</v>
      </c>
      <c r="N288" s="8">
        <v>5</v>
      </c>
      <c r="O288" s="9">
        <v>45748</v>
      </c>
      <c r="P288" s="8" t="s">
        <v>47</v>
      </c>
      <c r="Q288" s="8" t="s">
        <v>49</v>
      </c>
      <c r="R288" s="8">
        <v>0</v>
      </c>
      <c r="S288" s="8">
        <v>5</v>
      </c>
      <c r="T288" s="8" t="s">
        <v>70</v>
      </c>
      <c r="U288" s="8" t="s">
        <v>71</v>
      </c>
      <c r="V288" s="8" t="s">
        <v>72</v>
      </c>
      <c r="W288" s="8" t="s">
        <v>62</v>
      </c>
      <c r="X288" s="10">
        <v>45208</v>
      </c>
    </row>
    <row r="289" spans="1:24" x14ac:dyDescent="0.3">
      <c r="A289" s="11">
        <v>288</v>
      </c>
      <c r="B289" s="11">
        <v>1116</v>
      </c>
      <c r="C289" s="11">
        <v>20</v>
      </c>
      <c r="D289" s="11">
        <v>1</v>
      </c>
      <c r="E289" s="11">
        <v>449</v>
      </c>
      <c r="F289" s="11">
        <v>0.1</v>
      </c>
      <c r="G289" s="11">
        <v>404</v>
      </c>
      <c r="H289" s="11">
        <v>20</v>
      </c>
      <c r="I289" s="11" t="s">
        <v>29</v>
      </c>
      <c r="J289" s="11" t="s">
        <v>16</v>
      </c>
      <c r="K289" s="11">
        <v>449</v>
      </c>
      <c r="L289" s="11">
        <v>180</v>
      </c>
      <c r="M289" s="11">
        <v>1116</v>
      </c>
      <c r="N289" s="11">
        <v>5</v>
      </c>
      <c r="O289" s="12">
        <v>45748</v>
      </c>
      <c r="P289" s="11" t="s">
        <v>47</v>
      </c>
      <c r="Q289" s="11" t="s">
        <v>49</v>
      </c>
      <c r="R289" s="11">
        <v>0</v>
      </c>
      <c r="S289" s="11">
        <v>5</v>
      </c>
      <c r="T289" s="11" t="s">
        <v>70</v>
      </c>
      <c r="U289" s="11" t="s">
        <v>71</v>
      </c>
      <c r="V289" s="11" t="s">
        <v>72</v>
      </c>
      <c r="W289" s="11" t="s">
        <v>62</v>
      </c>
      <c r="X289" s="13">
        <v>45208</v>
      </c>
    </row>
    <row r="290" spans="1:24" x14ac:dyDescent="0.3">
      <c r="A290" s="8">
        <v>289</v>
      </c>
      <c r="B290" s="8">
        <v>1116</v>
      </c>
      <c r="C290" s="8">
        <v>15</v>
      </c>
      <c r="D290" s="8">
        <v>1</v>
      </c>
      <c r="E290" s="8">
        <v>349</v>
      </c>
      <c r="F290" s="8">
        <v>0.1</v>
      </c>
      <c r="G290" s="8">
        <v>314</v>
      </c>
      <c r="H290" s="8">
        <v>15</v>
      </c>
      <c r="I290" s="8" t="s">
        <v>24</v>
      </c>
      <c r="J290" s="8" t="s">
        <v>11</v>
      </c>
      <c r="K290" s="8">
        <v>349</v>
      </c>
      <c r="L290" s="8">
        <v>120</v>
      </c>
      <c r="M290" s="8">
        <v>1116</v>
      </c>
      <c r="N290" s="8">
        <v>5</v>
      </c>
      <c r="O290" s="9">
        <v>45748</v>
      </c>
      <c r="P290" s="8" t="s">
        <v>47</v>
      </c>
      <c r="Q290" s="8" t="s">
        <v>49</v>
      </c>
      <c r="R290" s="8">
        <v>0</v>
      </c>
      <c r="S290" s="8">
        <v>5</v>
      </c>
      <c r="T290" s="8" t="s">
        <v>70</v>
      </c>
      <c r="U290" s="8" t="s">
        <v>71</v>
      </c>
      <c r="V290" s="8" t="s">
        <v>72</v>
      </c>
      <c r="W290" s="8" t="s">
        <v>62</v>
      </c>
      <c r="X290" s="10">
        <v>45208</v>
      </c>
    </row>
    <row r="291" spans="1:24" x14ac:dyDescent="0.3">
      <c r="A291" s="11">
        <v>290</v>
      </c>
      <c r="B291" s="11">
        <v>1116</v>
      </c>
      <c r="C291" s="11">
        <v>11</v>
      </c>
      <c r="D291" s="11">
        <v>1</v>
      </c>
      <c r="E291" s="11">
        <v>1099</v>
      </c>
      <c r="F291" s="11">
        <v>0.05</v>
      </c>
      <c r="G291" s="11">
        <v>1044</v>
      </c>
      <c r="H291" s="11">
        <v>11</v>
      </c>
      <c r="I291" s="11" t="s">
        <v>20</v>
      </c>
      <c r="J291" s="11" t="s">
        <v>19</v>
      </c>
      <c r="K291" s="11">
        <v>1099</v>
      </c>
      <c r="L291" s="11">
        <v>570</v>
      </c>
      <c r="M291" s="11">
        <v>1116</v>
      </c>
      <c r="N291" s="11">
        <v>5</v>
      </c>
      <c r="O291" s="12">
        <v>45748</v>
      </c>
      <c r="P291" s="11" t="s">
        <v>47</v>
      </c>
      <c r="Q291" s="11" t="s">
        <v>49</v>
      </c>
      <c r="R291" s="11">
        <v>0</v>
      </c>
      <c r="S291" s="11">
        <v>5</v>
      </c>
      <c r="T291" s="11" t="s">
        <v>70</v>
      </c>
      <c r="U291" s="11" t="s">
        <v>71</v>
      </c>
      <c r="V291" s="11" t="s">
        <v>72</v>
      </c>
      <c r="W291" s="11" t="s">
        <v>62</v>
      </c>
      <c r="X291" s="13">
        <v>45208</v>
      </c>
    </row>
    <row r="292" spans="1:24" x14ac:dyDescent="0.3">
      <c r="A292" s="8">
        <v>291</v>
      </c>
      <c r="B292" s="8">
        <v>1117</v>
      </c>
      <c r="C292" s="8">
        <v>15</v>
      </c>
      <c r="D292" s="8">
        <v>1</v>
      </c>
      <c r="E292" s="8">
        <v>349</v>
      </c>
      <c r="F292" s="8">
        <v>0.05</v>
      </c>
      <c r="G292" s="8">
        <v>332</v>
      </c>
      <c r="H292" s="8">
        <v>15</v>
      </c>
      <c r="I292" s="8" t="s">
        <v>24</v>
      </c>
      <c r="J292" s="8" t="s">
        <v>11</v>
      </c>
      <c r="K292" s="8">
        <v>349</v>
      </c>
      <c r="L292" s="8">
        <v>120</v>
      </c>
      <c r="M292" s="8">
        <v>1117</v>
      </c>
      <c r="N292" s="8">
        <v>38</v>
      </c>
      <c r="O292" s="9">
        <v>45686</v>
      </c>
      <c r="P292" s="8" t="s">
        <v>41</v>
      </c>
      <c r="Q292" s="8" t="s">
        <v>46</v>
      </c>
      <c r="R292" s="8">
        <v>5</v>
      </c>
      <c r="S292" s="8">
        <v>38</v>
      </c>
      <c r="T292" s="8" t="s">
        <v>125</v>
      </c>
      <c r="U292" s="8" t="s">
        <v>103</v>
      </c>
      <c r="V292" s="8" t="s">
        <v>81</v>
      </c>
      <c r="W292" s="8" t="s">
        <v>62</v>
      </c>
      <c r="X292" s="10">
        <v>45704</v>
      </c>
    </row>
    <row r="293" spans="1:24" x14ac:dyDescent="0.3">
      <c r="A293" s="11">
        <v>292</v>
      </c>
      <c r="B293" s="11">
        <v>1117</v>
      </c>
      <c r="C293" s="11">
        <v>20</v>
      </c>
      <c r="D293" s="11">
        <v>1</v>
      </c>
      <c r="E293" s="11">
        <v>449</v>
      </c>
      <c r="F293" s="11">
        <v>0</v>
      </c>
      <c r="G293" s="11">
        <v>449</v>
      </c>
      <c r="H293" s="11">
        <v>20</v>
      </c>
      <c r="I293" s="11" t="s">
        <v>29</v>
      </c>
      <c r="J293" s="11" t="s">
        <v>16</v>
      </c>
      <c r="K293" s="11">
        <v>449</v>
      </c>
      <c r="L293" s="11">
        <v>180</v>
      </c>
      <c r="M293" s="11">
        <v>1117</v>
      </c>
      <c r="N293" s="11">
        <v>38</v>
      </c>
      <c r="O293" s="12">
        <v>45686</v>
      </c>
      <c r="P293" s="11" t="s">
        <v>41</v>
      </c>
      <c r="Q293" s="11" t="s">
        <v>46</v>
      </c>
      <c r="R293" s="11">
        <v>5</v>
      </c>
      <c r="S293" s="11">
        <v>38</v>
      </c>
      <c r="T293" s="11" t="s">
        <v>125</v>
      </c>
      <c r="U293" s="11" t="s">
        <v>103</v>
      </c>
      <c r="V293" s="11" t="s">
        <v>81</v>
      </c>
      <c r="W293" s="11" t="s">
        <v>62</v>
      </c>
      <c r="X293" s="13">
        <v>45704</v>
      </c>
    </row>
    <row r="294" spans="1:24" x14ac:dyDescent="0.3">
      <c r="A294" s="8">
        <v>293</v>
      </c>
      <c r="B294" s="8">
        <v>1117</v>
      </c>
      <c r="C294" s="8">
        <v>2</v>
      </c>
      <c r="D294" s="8">
        <v>1</v>
      </c>
      <c r="E294" s="8">
        <v>2499</v>
      </c>
      <c r="F294" s="8">
        <v>0.15</v>
      </c>
      <c r="G294" s="8">
        <v>2124</v>
      </c>
      <c r="H294" s="8">
        <v>2</v>
      </c>
      <c r="I294" s="8" t="s">
        <v>7</v>
      </c>
      <c r="J294" s="8" t="s">
        <v>6</v>
      </c>
      <c r="K294" s="8">
        <v>2499</v>
      </c>
      <c r="L294" s="8">
        <v>1500</v>
      </c>
      <c r="M294" s="8">
        <v>1117</v>
      </c>
      <c r="N294" s="8">
        <v>38</v>
      </c>
      <c r="O294" s="9">
        <v>45686</v>
      </c>
      <c r="P294" s="8" t="s">
        <v>41</v>
      </c>
      <c r="Q294" s="8" t="s">
        <v>46</v>
      </c>
      <c r="R294" s="8">
        <v>5</v>
      </c>
      <c r="S294" s="8">
        <v>38</v>
      </c>
      <c r="T294" s="8" t="s">
        <v>125</v>
      </c>
      <c r="U294" s="8" t="s">
        <v>103</v>
      </c>
      <c r="V294" s="8" t="s">
        <v>81</v>
      </c>
      <c r="W294" s="8" t="s">
        <v>62</v>
      </c>
      <c r="X294" s="10">
        <v>45704</v>
      </c>
    </row>
    <row r="295" spans="1:24" x14ac:dyDescent="0.3">
      <c r="A295" s="11">
        <v>294</v>
      </c>
      <c r="B295" s="11">
        <v>1118</v>
      </c>
      <c r="C295" s="11">
        <v>15</v>
      </c>
      <c r="D295" s="11">
        <v>2</v>
      </c>
      <c r="E295" s="11">
        <v>349</v>
      </c>
      <c r="F295" s="11">
        <v>0.15</v>
      </c>
      <c r="G295" s="11">
        <v>593</v>
      </c>
      <c r="H295" s="11">
        <v>15</v>
      </c>
      <c r="I295" s="11" t="s">
        <v>24</v>
      </c>
      <c r="J295" s="11" t="s">
        <v>11</v>
      </c>
      <c r="K295" s="11">
        <v>349</v>
      </c>
      <c r="L295" s="11">
        <v>120</v>
      </c>
      <c r="M295" s="11">
        <v>1118</v>
      </c>
      <c r="N295" s="11">
        <v>25</v>
      </c>
      <c r="O295" s="12">
        <v>45894</v>
      </c>
      <c r="P295" s="11" t="s">
        <v>48</v>
      </c>
      <c r="Q295" s="11" t="s">
        <v>45</v>
      </c>
      <c r="R295" s="11">
        <v>0</v>
      </c>
      <c r="S295" s="11">
        <v>25</v>
      </c>
      <c r="T295" s="11" t="s">
        <v>112</v>
      </c>
      <c r="U295" s="11" t="s">
        <v>71</v>
      </c>
      <c r="V295" s="11" t="s">
        <v>72</v>
      </c>
      <c r="W295" s="11" t="s">
        <v>58</v>
      </c>
      <c r="X295" s="13">
        <v>45501</v>
      </c>
    </row>
    <row r="296" spans="1:24" x14ac:dyDescent="0.3">
      <c r="A296" s="8">
        <v>295</v>
      </c>
      <c r="B296" s="8">
        <v>1119</v>
      </c>
      <c r="C296" s="8">
        <v>2</v>
      </c>
      <c r="D296" s="8">
        <v>1</v>
      </c>
      <c r="E296" s="8">
        <v>2499</v>
      </c>
      <c r="F296" s="8">
        <v>0.05</v>
      </c>
      <c r="G296" s="8">
        <v>2374</v>
      </c>
      <c r="H296" s="8">
        <v>2</v>
      </c>
      <c r="I296" s="8" t="s">
        <v>7</v>
      </c>
      <c r="J296" s="8" t="s">
        <v>6</v>
      </c>
      <c r="K296" s="8">
        <v>2499</v>
      </c>
      <c r="L296" s="8">
        <v>1500</v>
      </c>
      <c r="M296" s="8">
        <v>1119</v>
      </c>
      <c r="N296" s="8">
        <v>13</v>
      </c>
      <c r="O296" s="9">
        <v>45822</v>
      </c>
      <c r="P296" s="8" t="s">
        <v>48</v>
      </c>
      <c r="Q296" s="8" t="s">
        <v>49</v>
      </c>
      <c r="R296" s="8">
        <v>0</v>
      </c>
      <c r="S296" s="8">
        <v>13</v>
      </c>
      <c r="T296" s="8" t="s">
        <v>92</v>
      </c>
      <c r="U296" s="8" t="s">
        <v>93</v>
      </c>
      <c r="V296" s="8" t="s">
        <v>65</v>
      </c>
      <c r="W296" s="8" t="s">
        <v>58</v>
      </c>
      <c r="X296" s="10">
        <v>45485</v>
      </c>
    </row>
    <row r="297" spans="1:24" x14ac:dyDescent="0.3">
      <c r="A297" s="11">
        <v>296</v>
      </c>
      <c r="B297" s="11">
        <v>1119</v>
      </c>
      <c r="C297" s="11">
        <v>15</v>
      </c>
      <c r="D297" s="11">
        <v>3</v>
      </c>
      <c r="E297" s="11">
        <v>349</v>
      </c>
      <c r="F297" s="11">
        <v>0</v>
      </c>
      <c r="G297" s="11">
        <v>1047</v>
      </c>
      <c r="H297" s="11">
        <v>15</v>
      </c>
      <c r="I297" s="11" t="s">
        <v>24</v>
      </c>
      <c r="J297" s="11" t="s">
        <v>11</v>
      </c>
      <c r="K297" s="11">
        <v>349</v>
      </c>
      <c r="L297" s="11">
        <v>120</v>
      </c>
      <c r="M297" s="11">
        <v>1119</v>
      </c>
      <c r="N297" s="11">
        <v>13</v>
      </c>
      <c r="O297" s="12">
        <v>45822</v>
      </c>
      <c r="P297" s="11" t="s">
        <v>48</v>
      </c>
      <c r="Q297" s="11" t="s">
        <v>49</v>
      </c>
      <c r="R297" s="11">
        <v>0</v>
      </c>
      <c r="S297" s="11">
        <v>13</v>
      </c>
      <c r="T297" s="11" t="s">
        <v>92</v>
      </c>
      <c r="U297" s="11" t="s">
        <v>93</v>
      </c>
      <c r="V297" s="11" t="s">
        <v>65</v>
      </c>
      <c r="W297" s="11" t="s">
        <v>58</v>
      </c>
      <c r="X297" s="13">
        <v>45485</v>
      </c>
    </row>
    <row r="298" spans="1:24" x14ac:dyDescent="0.3">
      <c r="A298" s="8">
        <v>297</v>
      </c>
      <c r="B298" s="8">
        <v>1120</v>
      </c>
      <c r="C298" s="8">
        <v>15</v>
      </c>
      <c r="D298" s="8">
        <v>1</v>
      </c>
      <c r="E298" s="8">
        <v>349</v>
      </c>
      <c r="F298" s="8">
        <v>0.05</v>
      </c>
      <c r="G298" s="8">
        <v>332</v>
      </c>
      <c r="H298" s="8">
        <v>15</v>
      </c>
      <c r="I298" s="8" t="s">
        <v>24</v>
      </c>
      <c r="J298" s="8" t="s">
        <v>11</v>
      </c>
      <c r="K298" s="8">
        <v>349</v>
      </c>
      <c r="L298" s="8">
        <v>120</v>
      </c>
      <c r="M298" s="8">
        <v>1120</v>
      </c>
      <c r="N298" s="8">
        <v>33</v>
      </c>
      <c r="O298" s="9">
        <v>45988</v>
      </c>
      <c r="P298" s="8" t="s">
        <v>41</v>
      </c>
      <c r="Q298" s="8" t="s">
        <v>42</v>
      </c>
      <c r="R298" s="8">
        <v>1</v>
      </c>
      <c r="S298" s="8">
        <v>33</v>
      </c>
      <c r="T298" s="8" t="s">
        <v>120</v>
      </c>
      <c r="U298" s="8" t="s">
        <v>93</v>
      </c>
      <c r="V298" s="8" t="s">
        <v>65</v>
      </c>
      <c r="W298" s="8" t="s">
        <v>66</v>
      </c>
      <c r="X298" s="10">
        <v>45386</v>
      </c>
    </row>
    <row r="299" spans="1:24" x14ac:dyDescent="0.3">
      <c r="A299" s="11">
        <v>298</v>
      </c>
      <c r="B299" s="11">
        <v>1120</v>
      </c>
      <c r="C299" s="11">
        <v>17</v>
      </c>
      <c r="D299" s="11">
        <v>1</v>
      </c>
      <c r="E299" s="11">
        <v>8499</v>
      </c>
      <c r="F299" s="11">
        <v>0.05</v>
      </c>
      <c r="G299" s="11">
        <v>8074</v>
      </c>
      <c r="H299" s="11">
        <v>17</v>
      </c>
      <c r="I299" s="11" t="s">
        <v>26</v>
      </c>
      <c r="J299" s="11" t="s">
        <v>14</v>
      </c>
      <c r="K299" s="11">
        <v>8499</v>
      </c>
      <c r="L299" s="11">
        <v>6100</v>
      </c>
      <c r="M299" s="11">
        <v>1120</v>
      </c>
      <c r="N299" s="11">
        <v>33</v>
      </c>
      <c r="O299" s="12">
        <v>45988</v>
      </c>
      <c r="P299" s="11" t="s">
        <v>41</v>
      </c>
      <c r="Q299" s="11" t="s">
        <v>42</v>
      </c>
      <c r="R299" s="11">
        <v>1</v>
      </c>
      <c r="S299" s="11">
        <v>33</v>
      </c>
      <c r="T299" s="11" t="s">
        <v>120</v>
      </c>
      <c r="U299" s="11" t="s">
        <v>93</v>
      </c>
      <c r="V299" s="11" t="s">
        <v>65</v>
      </c>
      <c r="W299" s="11" t="s">
        <v>66</v>
      </c>
      <c r="X299" s="13">
        <v>45386</v>
      </c>
    </row>
    <row r="300" spans="1:24" x14ac:dyDescent="0.3">
      <c r="A300" s="8">
        <v>299</v>
      </c>
      <c r="B300" s="8">
        <v>1120</v>
      </c>
      <c r="C300" s="8">
        <v>19</v>
      </c>
      <c r="D300" s="8">
        <v>2</v>
      </c>
      <c r="E300" s="8">
        <v>499</v>
      </c>
      <c r="F300" s="8">
        <v>0</v>
      </c>
      <c r="G300" s="8">
        <v>998</v>
      </c>
      <c r="H300" s="8">
        <v>19</v>
      </c>
      <c r="I300" s="8" t="s">
        <v>28</v>
      </c>
      <c r="J300" s="8" t="s">
        <v>11</v>
      </c>
      <c r="K300" s="8">
        <v>499</v>
      </c>
      <c r="L300" s="8">
        <v>220</v>
      </c>
      <c r="M300" s="8">
        <v>1120</v>
      </c>
      <c r="N300" s="8">
        <v>33</v>
      </c>
      <c r="O300" s="9">
        <v>45988</v>
      </c>
      <c r="P300" s="8" t="s">
        <v>41</v>
      </c>
      <c r="Q300" s="8" t="s">
        <v>42</v>
      </c>
      <c r="R300" s="8">
        <v>1</v>
      </c>
      <c r="S300" s="8">
        <v>33</v>
      </c>
      <c r="T300" s="8" t="s">
        <v>120</v>
      </c>
      <c r="U300" s="8" t="s">
        <v>93</v>
      </c>
      <c r="V300" s="8" t="s">
        <v>65</v>
      </c>
      <c r="W300" s="8" t="s">
        <v>66</v>
      </c>
      <c r="X300" s="10">
        <v>45386</v>
      </c>
    </row>
    <row r="301" spans="1:24" x14ac:dyDescent="0.3">
      <c r="A301" s="24">
        <v>300</v>
      </c>
      <c r="B301" s="24">
        <v>1120</v>
      </c>
      <c r="C301" s="24">
        <v>6</v>
      </c>
      <c r="D301" s="24">
        <v>2</v>
      </c>
      <c r="E301" s="24">
        <v>1899</v>
      </c>
      <c r="F301" s="24">
        <v>0.2</v>
      </c>
      <c r="G301" s="24">
        <v>3038</v>
      </c>
      <c r="H301" s="24">
        <v>6</v>
      </c>
      <c r="I301" s="24" t="s">
        <v>12</v>
      </c>
      <c r="J301" s="24" t="s">
        <v>11</v>
      </c>
      <c r="K301" s="24">
        <v>1899</v>
      </c>
      <c r="L301" s="24">
        <v>950</v>
      </c>
      <c r="M301" s="24">
        <v>1120</v>
      </c>
      <c r="N301" s="24">
        <v>33</v>
      </c>
      <c r="O301" s="25">
        <v>45988</v>
      </c>
      <c r="P301" s="24" t="s">
        <v>41</v>
      </c>
      <c r="Q301" s="24" t="s">
        <v>42</v>
      </c>
      <c r="R301" s="24">
        <v>1</v>
      </c>
      <c r="S301" s="24">
        <v>33</v>
      </c>
      <c r="T301" s="24" t="s">
        <v>120</v>
      </c>
      <c r="U301" s="24" t="s">
        <v>93</v>
      </c>
      <c r="V301" s="24" t="s">
        <v>65</v>
      </c>
      <c r="W301" s="24" t="s">
        <v>66</v>
      </c>
      <c r="X301" s="26">
        <v>45386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97CC-650B-495A-9E81-B58705A77CDB}">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4F68A-0A42-4822-8DEB-4E72FE578F50}">
  <dimension ref="A1"/>
  <sheetViews>
    <sheetView tabSelected="1" zoomScale="99" zoomScaleNormal="99" workbookViewId="0">
      <selection activeCell="C35" sqref="C3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52ECB-1AFA-43EC-9A66-AF360B1AFD90}">
  <dimension ref="A1:K93"/>
  <sheetViews>
    <sheetView topLeftCell="A60" zoomScale="70" zoomScaleNormal="58" workbookViewId="0">
      <selection activeCell="K70" sqref="K70"/>
    </sheetView>
  </sheetViews>
  <sheetFormatPr defaultRowHeight="14.4" x14ac:dyDescent="0.3"/>
  <cols>
    <col min="1" max="1" width="15" bestFit="1" customWidth="1"/>
    <col min="2" max="2" width="16.6640625" bestFit="1" customWidth="1"/>
    <col min="3" max="3" width="14.6640625" bestFit="1" customWidth="1"/>
    <col min="4" max="4" width="13.88671875" bestFit="1" customWidth="1"/>
    <col min="5" max="6" width="23" bestFit="1" customWidth="1"/>
    <col min="7" max="7" width="12.77734375" bestFit="1" customWidth="1"/>
    <col min="10" max="11" width="30" bestFit="1" customWidth="1"/>
  </cols>
  <sheetData>
    <row r="1" spans="1:2" x14ac:dyDescent="0.3">
      <c r="A1" s="17" t="s">
        <v>159</v>
      </c>
      <c r="B1" t="s">
        <v>158</v>
      </c>
    </row>
    <row r="2" spans="1:2" x14ac:dyDescent="0.3">
      <c r="A2" s="18" t="s">
        <v>161</v>
      </c>
      <c r="B2" s="19">
        <v>48467</v>
      </c>
    </row>
    <row r="3" spans="1:2" x14ac:dyDescent="0.3">
      <c r="A3" s="18" t="s">
        <v>162</v>
      </c>
      <c r="B3" s="19">
        <v>54678</v>
      </c>
    </row>
    <row r="4" spans="1:2" x14ac:dyDescent="0.3">
      <c r="A4" s="18" t="s">
        <v>163</v>
      </c>
      <c r="B4" s="19">
        <v>85809</v>
      </c>
    </row>
    <row r="5" spans="1:2" x14ac:dyDescent="0.3">
      <c r="A5" s="18" t="s">
        <v>169</v>
      </c>
      <c r="B5" s="19">
        <v>78997</v>
      </c>
    </row>
    <row r="6" spans="1:2" x14ac:dyDescent="0.3">
      <c r="A6" s="18" t="s">
        <v>173</v>
      </c>
      <c r="B6" s="19">
        <v>95290</v>
      </c>
    </row>
    <row r="7" spans="1:2" x14ac:dyDescent="0.3">
      <c r="A7" s="18" t="s">
        <v>164</v>
      </c>
      <c r="B7" s="19">
        <v>83522</v>
      </c>
    </row>
    <row r="8" spans="1:2" x14ac:dyDescent="0.3">
      <c r="A8" s="18" t="s">
        <v>165</v>
      </c>
      <c r="B8" s="19">
        <v>36912</v>
      </c>
    </row>
    <row r="9" spans="1:2" x14ac:dyDescent="0.3">
      <c r="A9" s="18" t="s">
        <v>171</v>
      </c>
      <c r="B9" s="19">
        <v>81710</v>
      </c>
    </row>
    <row r="10" spans="1:2" x14ac:dyDescent="0.3">
      <c r="A10" s="18" t="s">
        <v>166</v>
      </c>
      <c r="B10" s="19">
        <v>46903</v>
      </c>
    </row>
    <row r="11" spans="1:2" x14ac:dyDescent="0.3">
      <c r="A11" s="18" t="s">
        <v>167</v>
      </c>
      <c r="B11" s="19">
        <v>58364</v>
      </c>
    </row>
    <row r="12" spans="1:2" x14ac:dyDescent="0.3">
      <c r="A12" s="18" t="s">
        <v>170</v>
      </c>
      <c r="B12" s="19">
        <v>92405</v>
      </c>
    </row>
    <row r="13" spans="1:2" x14ac:dyDescent="0.3">
      <c r="A13" s="18" t="s">
        <v>172</v>
      </c>
      <c r="B13" s="19">
        <v>95367</v>
      </c>
    </row>
    <row r="14" spans="1:2" x14ac:dyDescent="0.3">
      <c r="A14" s="18" t="s">
        <v>160</v>
      </c>
      <c r="B14" s="19">
        <v>858424</v>
      </c>
    </row>
    <row r="20" spans="1:2" x14ac:dyDescent="0.3">
      <c r="A20" s="17" t="s">
        <v>159</v>
      </c>
      <c r="B20" t="s">
        <v>158</v>
      </c>
    </row>
    <row r="21" spans="1:2" x14ac:dyDescent="0.3">
      <c r="A21" s="18" t="s">
        <v>12</v>
      </c>
      <c r="B21" s="19">
        <v>33990</v>
      </c>
    </row>
    <row r="22" spans="1:2" x14ac:dyDescent="0.3">
      <c r="A22" s="18" t="s">
        <v>9</v>
      </c>
      <c r="B22" s="19">
        <v>49366</v>
      </c>
    </row>
    <row r="23" spans="1:2" x14ac:dyDescent="0.3">
      <c r="A23" s="18" t="s">
        <v>21</v>
      </c>
      <c r="B23" s="19">
        <v>2872</v>
      </c>
    </row>
    <row r="24" spans="1:2" x14ac:dyDescent="0.3">
      <c r="A24" s="18" t="s">
        <v>13</v>
      </c>
      <c r="B24" s="19">
        <v>14335</v>
      </c>
    </row>
    <row r="25" spans="1:2" x14ac:dyDescent="0.3">
      <c r="A25" s="18" t="s">
        <v>17</v>
      </c>
      <c r="B25" s="19">
        <v>4068</v>
      </c>
    </row>
    <row r="26" spans="1:2" x14ac:dyDescent="0.3">
      <c r="A26" s="18" t="s">
        <v>10</v>
      </c>
      <c r="B26" s="19">
        <v>32927</v>
      </c>
    </row>
    <row r="27" spans="1:2" x14ac:dyDescent="0.3">
      <c r="A27" s="18" t="s">
        <v>7</v>
      </c>
      <c r="B27" s="19">
        <v>45106</v>
      </c>
    </row>
    <row r="28" spans="1:2" x14ac:dyDescent="0.3">
      <c r="A28" s="18" t="s">
        <v>22</v>
      </c>
      <c r="B28" s="19">
        <v>263974</v>
      </c>
    </row>
    <row r="29" spans="1:2" x14ac:dyDescent="0.3">
      <c r="A29" s="18" t="s">
        <v>15</v>
      </c>
      <c r="B29" s="19">
        <v>6516</v>
      </c>
    </row>
    <row r="30" spans="1:2" x14ac:dyDescent="0.3">
      <c r="A30" s="18" t="s">
        <v>26</v>
      </c>
      <c r="B30" s="19">
        <v>129183</v>
      </c>
    </row>
    <row r="31" spans="1:2" x14ac:dyDescent="0.3">
      <c r="A31" s="18" t="s">
        <v>24</v>
      </c>
      <c r="B31" s="19">
        <v>8829</v>
      </c>
    </row>
    <row r="32" spans="1:2" x14ac:dyDescent="0.3">
      <c r="A32" s="18" t="s">
        <v>29</v>
      </c>
      <c r="B32" s="19">
        <v>8283</v>
      </c>
    </row>
    <row r="33" spans="1:2" x14ac:dyDescent="0.3">
      <c r="A33" s="18" t="s">
        <v>25</v>
      </c>
      <c r="B33" s="19">
        <v>29020</v>
      </c>
    </row>
    <row r="34" spans="1:2" x14ac:dyDescent="0.3">
      <c r="A34" s="18" t="s">
        <v>27</v>
      </c>
      <c r="B34" s="19">
        <v>66968</v>
      </c>
    </row>
    <row r="35" spans="1:2" x14ac:dyDescent="0.3">
      <c r="A35" s="18" t="s">
        <v>28</v>
      </c>
      <c r="B35" s="19">
        <v>12898</v>
      </c>
    </row>
    <row r="36" spans="1:2" x14ac:dyDescent="0.3">
      <c r="A36" s="18" t="s">
        <v>8</v>
      </c>
      <c r="B36" s="19">
        <v>43535</v>
      </c>
    </row>
    <row r="37" spans="1:2" x14ac:dyDescent="0.3">
      <c r="A37" s="18" t="s">
        <v>18</v>
      </c>
      <c r="B37" s="19">
        <v>11230</v>
      </c>
    </row>
    <row r="38" spans="1:2" x14ac:dyDescent="0.3">
      <c r="A38" s="18" t="s">
        <v>23</v>
      </c>
      <c r="B38" s="19">
        <v>67845</v>
      </c>
    </row>
    <row r="39" spans="1:2" x14ac:dyDescent="0.3">
      <c r="A39" s="18" t="s">
        <v>5</v>
      </c>
      <c r="B39" s="19">
        <v>11105</v>
      </c>
    </row>
    <row r="40" spans="1:2" x14ac:dyDescent="0.3">
      <c r="A40" s="18" t="s">
        <v>20</v>
      </c>
      <c r="B40" s="19">
        <v>16374</v>
      </c>
    </row>
    <row r="41" spans="1:2" x14ac:dyDescent="0.3">
      <c r="A41" s="18" t="s">
        <v>160</v>
      </c>
      <c r="B41" s="19">
        <v>858424</v>
      </c>
    </row>
    <row r="43" spans="1:2" x14ac:dyDescent="0.3">
      <c r="A43" s="17" t="s">
        <v>159</v>
      </c>
      <c r="B43" t="s">
        <v>158</v>
      </c>
    </row>
    <row r="44" spans="1:2" x14ac:dyDescent="0.3">
      <c r="A44" s="18" t="s">
        <v>11</v>
      </c>
      <c r="B44" s="19">
        <v>88644</v>
      </c>
    </row>
    <row r="45" spans="1:2" x14ac:dyDescent="0.3">
      <c r="A45" s="18" t="s">
        <v>6</v>
      </c>
      <c r="B45" s="19">
        <v>509951</v>
      </c>
    </row>
    <row r="46" spans="1:2" x14ac:dyDescent="0.3">
      <c r="A46" s="18" t="s">
        <v>14</v>
      </c>
      <c r="B46" s="19">
        <v>146390</v>
      </c>
    </row>
    <row r="47" spans="1:2" x14ac:dyDescent="0.3">
      <c r="A47" s="18" t="s">
        <v>19</v>
      </c>
      <c r="B47" s="19">
        <v>94572</v>
      </c>
    </row>
    <row r="48" spans="1:2" x14ac:dyDescent="0.3">
      <c r="A48" s="18" t="s">
        <v>16</v>
      </c>
      <c r="B48" s="19">
        <v>18867</v>
      </c>
    </row>
    <row r="49" spans="1:6" x14ac:dyDescent="0.3">
      <c r="A49" s="18" t="s">
        <v>160</v>
      </c>
      <c r="B49" s="19">
        <v>858424</v>
      </c>
    </row>
    <row r="51" spans="1:6" x14ac:dyDescent="0.3">
      <c r="A51" s="17" t="s">
        <v>159</v>
      </c>
      <c r="B51" t="s">
        <v>168</v>
      </c>
    </row>
    <row r="52" spans="1:6" x14ac:dyDescent="0.3">
      <c r="A52" s="18" t="s">
        <v>48</v>
      </c>
      <c r="B52" s="19">
        <v>38</v>
      </c>
    </row>
    <row r="53" spans="1:6" x14ac:dyDescent="0.3">
      <c r="A53" s="18" t="s">
        <v>41</v>
      </c>
      <c r="B53" s="19">
        <v>171</v>
      </c>
    </row>
    <row r="54" spans="1:6" x14ac:dyDescent="0.3">
      <c r="A54" s="18" t="s">
        <v>47</v>
      </c>
      <c r="B54" s="19">
        <v>46</v>
      </c>
    </row>
    <row r="55" spans="1:6" x14ac:dyDescent="0.3">
      <c r="A55" s="18" t="s">
        <v>44</v>
      </c>
      <c r="B55" s="19">
        <v>45</v>
      </c>
    </row>
    <row r="56" spans="1:6" x14ac:dyDescent="0.3">
      <c r="A56" s="18" t="s">
        <v>160</v>
      </c>
      <c r="B56" s="19">
        <v>300</v>
      </c>
    </row>
    <row r="59" spans="1:6" x14ac:dyDescent="0.3">
      <c r="A59" t="s">
        <v>158</v>
      </c>
    </row>
    <row r="60" spans="1:6" x14ac:dyDescent="0.3">
      <c r="A60" s="19">
        <v>858424</v>
      </c>
      <c r="C60" s="20">
        <f>GETPIVOTDATA("line_total",$A$59)</f>
        <v>858424</v>
      </c>
    </row>
    <row r="63" spans="1:6" x14ac:dyDescent="0.3">
      <c r="A63" t="s">
        <v>168</v>
      </c>
      <c r="F63" t="s">
        <v>174</v>
      </c>
    </row>
    <row r="64" spans="1:6" x14ac:dyDescent="0.3">
      <c r="A64" s="19">
        <v>300</v>
      </c>
      <c r="C64">
        <f>GETPIVOTDATA("order_id",$A$63)</f>
        <v>300</v>
      </c>
    </row>
    <row r="66" spans="4:11" x14ac:dyDescent="0.3">
      <c r="E66" t="s">
        <v>168</v>
      </c>
    </row>
    <row r="67" spans="4:11" x14ac:dyDescent="0.3">
      <c r="E67" s="19">
        <v>300</v>
      </c>
    </row>
    <row r="68" spans="4:11" x14ac:dyDescent="0.3">
      <c r="F68" s="17" t="s">
        <v>136</v>
      </c>
      <c r="G68" t="s">
        <v>48</v>
      </c>
      <c r="J68" t="s">
        <v>175</v>
      </c>
    </row>
    <row r="69" spans="4:11" x14ac:dyDescent="0.3">
      <c r="J69" s="19">
        <v>300</v>
      </c>
      <c r="K69">
        <f>GETPIVOTDATA("customers.customer_id",$J$68)</f>
        <v>300</v>
      </c>
    </row>
    <row r="70" spans="4:11" x14ac:dyDescent="0.3">
      <c r="F70" t="s">
        <v>176</v>
      </c>
    </row>
    <row r="71" spans="4:11" x14ac:dyDescent="0.3">
      <c r="D71" s="17" t="s">
        <v>159</v>
      </c>
      <c r="E71" t="s">
        <v>176</v>
      </c>
      <c r="F71" s="19">
        <v>38</v>
      </c>
    </row>
    <row r="72" spans="4:11" x14ac:dyDescent="0.3">
      <c r="D72" s="18" t="s">
        <v>48</v>
      </c>
      <c r="E72" s="19">
        <v>38</v>
      </c>
    </row>
    <row r="73" spans="4:11" x14ac:dyDescent="0.3">
      <c r="D73" s="18" t="s">
        <v>41</v>
      </c>
      <c r="E73" s="19">
        <v>171</v>
      </c>
    </row>
    <row r="74" spans="4:11" x14ac:dyDescent="0.3">
      <c r="D74" s="18" t="s">
        <v>47</v>
      </c>
      <c r="E74" s="19">
        <v>46</v>
      </c>
    </row>
    <row r="75" spans="4:11" x14ac:dyDescent="0.3">
      <c r="D75" s="18" t="s">
        <v>44</v>
      </c>
      <c r="E75" s="19">
        <v>45</v>
      </c>
    </row>
    <row r="76" spans="4:11" x14ac:dyDescent="0.3">
      <c r="D76" s="18" t="s">
        <v>160</v>
      </c>
      <c r="E76" s="19">
        <v>300</v>
      </c>
    </row>
    <row r="80" spans="4:11" x14ac:dyDescent="0.3">
      <c r="E80" t="s">
        <v>177</v>
      </c>
      <c r="F80" s="27">
        <f>GETPIVOTDATA("orders.order_id",$F$70)/GETPIVOTDATA("orders.order_id",$D$71)</f>
        <v>0.12666666666666668</v>
      </c>
    </row>
    <row r="92" spans="1:4" x14ac:dyDescent="0.3">
      <c r="A92" t="s">
        <v>178</v>
      </c>
    </row>
    <row r="93" spans="1:4" x14ac:dyDescent="0.3">
      <c r="A93" s="19">
        <v>429</v>
      </c>
      <c r="D93">
        <f>GETPIVOTDATA("quantity",$A$92)</f>
        <v>429</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14FCB-84B7-4E6E-AC19-29E5F53B13E3}">
  <dimension ref="A1:X301"/>
  <sheetViews>
    <sheetView topLeftCell="A287" workbookViewId="0"/>
  </sheetViews>
  <sheetFormatPr defaultRowHeight="14.4" x14ac:dyDescent="0.3"/>
  <cols>
    <col min="1" max="1" width="10.33203125" bestFit="1" customWidth="1"/>
    <col min="2" max="2" width="13.6640625" bestFit="1" customWidth="1"/>
    <col min="3" max="3" width="12.5546875" bestFit="1" customWidth="1"/>
    <col min="4" max="4" width="13.77734375" bestFit="1" customWidth="1"/>
    <col min="5" max="5" width="18.5546875" bestFit="1" customWidth="1"/>
    <col min="6" max="6" width="15.33203125" bestFit="1" customWidth="1"/>
    <col min="7" max="7" width="22.33203125" bestFit="1" customWidth="1"/>
    <col min="8" max="8" width="20.88671875" bestFit="1" customWidth="1"/>
    <col min="9" max="9" width="20.5546875" bestFit="1" customWidth="1"/>
    <col min="10" max="10" width="14.6640625" bestFit="1" customWidth="1"/>
    <col min="11" max="11" width="28.21875" bestFit="1" customWidth="1"/>
    <col min="12" max="12" width="22.21875" bestFit="1" customWidth="1"/>
    <col min="13" max="13" width="26.88671875" bestFit="1" customWidth="1"/>
    <col min="14" max="14" width="22" bestFit="1" customWidth="1"/>
    <col min="15" max="15" width="24.21875" bestFit="1" customWidth="1"/>
    <col min="16" max="16" width="22" bestFit="1" customWidth="1"/>
    <col min="17" max="17" width="23.33203125" bestFit="1" customWidth="1"/>
    <col min="18" max="18" width="25.88671875" bestFit="1" customWidth="1"/>
    <col min="19" max="19" width="22.77734375" bestFit="1" customWidth="1"/>
    <col min="20" max="20" width="20.6640625" bestFit="1" customWidth="1"/>
    <col min="21" max="21" width="24" bestFit="1" customWidth="1"/>
    <col min="22" max="22" width="18.6640625" bestFit="1" customWidth="1"/>
    <col min="23" max="23" width="18.77734375" bestFit="1" customWidth="1"/>
    <col min="24" max="24" width="19.109375" bestFit="1" customWidth="1"/>
  </cols>
  <sheetData>
    <row r="1" spans="1:24" x14ac:dyDescent="0.3">
      <c r="A1" t="s">
        <v>31</v>
      </c>
      <c r="B1" t="s">
        <v>36</v>
      </c>
      <c r="C1" t="s">
        <v>37</v>
      </c>
      <c r="D1" t="s">
        <v>38</v>
      </c>
      <c r="E1" t="s">
        <v>39</v>
      </c>
      <c r="F1" t="s">
        <v>40</v>
      </c>
      <c r="G1" t="s">
        <v>145</v>
      </c>
      <c r="H1" t="s">
        <v>146</v>
      </c>
      <c r="I1" t="s">
        <v>147</v>
      </c>
      <c r="J1" t="s">
        <v>148</v>
      </c>
      <c r="K1" t="s">
        <v>149</v>
      </c>
      <c r="L1" t="s">
        <v>150</v>
      </c>
      <c r="M1" t="s">
        <v>151</v>
      </c>
      <c r="N1" t="s">
        <v>152</v>
      </c>
      <c r="O1" t="s">
        <v>153</v>
      </c>
      <c r="P1" t="s">
        <v>154</v>
      </c>
      <c r="Q1" t="s">
        <v>155</v>
      </c>
      <c r="R1" t="s">
        <v>156</v>
      </c>
      <c r="S1" t="s">
        <v>157</v>
      </c>
      <c r="T1" t="s">
        <v>128</v>
      </c>
      <c r="U1" t="s">
        <v>129</v>
      </c>
      <c r="V1" t="s">
        <v>130</v>
      </c>
      <c r="W1" t="s">
        <v>131</v>
      </c>
      <c r="X1" t="s">
        <v>132</v>
      </c>
    </row>
    <row r="2" spans="1:24" x14ac:dyDescent="0.3">
      <c r="A2">
        <v>1001</v>
      </c>
      <c r="B2">
        <v>28</v>
      </c>
      <c r="C2" s="1">
        <v>45832</v>
      </c>
      <c r="D2" t="s">
        <v>41</v>
      </c>
      <c r="E2" t="s">
        <v>42</v>
      </c>
      <c r="F2">
        <v>2</v>
      </c>
      <c r="G2">
        <v>28</v>
      </c>
      <c r="H2" t="s">
        <v>115</v>
      </c>
      <c r="I2" t="s">
        <v>80</v>
      </c>
      <c r="J2" t="s">
        <v>81</v>
      </c>
      <c r="K2" t="s">
        <v>58</v>
      </c>
      <c r="L2" s="1">
        <v>45592</v>
      </c>
      <c r="M2">
        <v>1</v>
      </c>
      <c r="N2">
        <v>1001</v>
      </c>
      <c r="O2">
        <v>4</v>
      </c>
      <c r="P2">
        <v>1</v>
      </c>
      <c r="Q2">
        <v>2199</v>
      </c>
      <c r="R2">
        <v>0.05</v>
      </c>
      <c r="S2">
        <v>2089</v>
      </c>
      <c r="T2">
        <v>4</v>
      </c>
      <c r="U2" t="s">
        <v>9</v>
      </c>
      <c r="V2" t="s">
        <v>6</v>
      </c>
      <c r="W2">
        <v>2199</v>
      </c>
      <c r="X2">
        <v>1250</v>
      </c>
    </row>
    <row r="3" spans="1:24" x14ac:dyDescent="0.3">
      <c r="A3">
        <v>1037</v>
      </c>
      <c r="B3">
        <v>25</v>
      </c>
      <c r="C3" s="1">
        <v>46004</v>
      </c>
      <c r="D3" t="s">
        <v>44</v>
      </c>
      <c r="E3" t="s">
        <v>45</v>
      </c>
      <c r="F3">
        <v>2</v>
      </c>
      <c r="G3">
        <v>25</v>
      </c>
      <c r="H3" t="s">
        <v>112</v>
      </c>
      <c r="I3" t="s">
        <v>71</v>
      </c>
      <c r="J3" t="s">
        <v>72</v>
      </c>
      <c r="K3" t="s">
        <v>58</v>
      </c>
      <c r="L3" s="1">
        <v>45501</v>
      </c>
      <c r="M3">
        <v>86</v>
      </c>
      <c r="N3">
        <v>1037</v>
      </c>
      <c r="O3">
        <v>1</v>
      </c>
      <c r="P3">
        <v>1</v>
      </c>
      <c r="Q3">
        <v>799</v>
      </c>
      <c r="R3">
        <v>0.05</v>
      </c>
      <c r="S3">
        <v>759</v>
      </c>
      <c r="T3">
        <v>1</v>
      </c>
      <c r="U3" t="s">
        <v>5</v>
      </c>
      <c r="V3" t="s">
        <v>6</v>
      </c>
      <c r="W3">
        <v>799</v>
      </c>
      <c r="X3">
        <v>420</v>
      </c>
    </row>
    <row r="4" spans="1:24" x14ac:dyDescent="0.3">
      <c r="A4">
        <v>1001</v>
      </c>
      <c r="B4">
        <v>28</v>
      </c>
      <c r="C4" s="1">
        <v>45832</v>
      </c>
      <c r="D4" t="s">
        <v>41</v>
      </c>
      <c r="E4" t="s">
        <v>42</v>
      </c>
      <c r="F4">
        <v>2</v>
      </c>
      <c r="G4">
        <v>28</v>
      </c>
      <c r="H4" t="s">
        <v>115</v>
      </c>
      <c r="I4" t="s">
        <v>80</v>
      </c>
      <c r="J4" t="s">
        <v>81</v>
      </c>
      <c r="K4" t="s">
        <v>58</v>
      </c>
      <c r="L4" s="1">
        <v>45592</v>
      </c>
      <c r="M4">
        <v>2</v>
      </c>
      <c r="N4">
        <v>1001</v>
      </c>
      <c r="O4">
        <v>3</v>
      </c>
      <c r="P4">
        <v>1</v>
      </c>
      <c r="Q4">
        <v>1799</v>
      </c>
      <c r="R4">
        <v>0</v>
      </c>
      <c r="S4">
        <v>1799</v>
      </c>
      <c r="T4">
        <v>3</v>
      </c>
      <c r="U4" t="s">
        <v>8</v>
      </c>
      <c r="V4" t="s">
        <v>6</v>
      </c>
      <c r="W4">
        <v>1799</v>
      </c>
      <c r="X4">
        <v>980</v>
      </c>
    </row>
    <row r="5" spans="1:24" x14ac:dyDescent="0.3">
      <c r="A5">
        <v>1024</v>
      </c>
      <c r="B5">
        <v>1</v>
      </c>
      <c r="C5" s="1">
        <v>45892</v>
      </c>
      <c r="D5" t="s">
        <v>48</v>
      </c>
      <c r="E5" t="s">
        <v>45</v>
      </c>
      <c r="F5">
        <v>0</v>
      </c>
      <c r="G5">
        <v>1</v>
      </c>
      <c r="H5" t="s">
        <v>55</v>
      </c>
      <c r="I5" t="s">
        <v>56</v>
      </c>
      <c r="J5" t="s">
        <v>57</v>
      </c>
      <c r="K5" t="s">
        <v>58</v>
      </c>
      <c r="L5" s="1">
        <v>45581</v>
      </c>
      <c r="M5">
        <v>54</v>
      </c>
      <c r="N5">
        <v>1024</v>
      </c>
      <c r="O5">
        <v>3</v>
      </c>
      <c r="P5">
        <v>1</v>
      </c>
      <c r="Q5">
        <v>1799</v>
      </c>
      <c r="R5">
        <v>0.15</v>
      </c>
      <c r="S5">
        <v>1529</v>
      </c>
      <c r="T5">
        <v>3</v>
      </c>
      <c r="U5" t="s">
        <v>8</v>
      </c>
      <c r="V5" t="s">
        <v>6</v>
      </c>
      <c r="W5">
        <v>1799</v>
      </c>
      <c r="X5">
        <v>980</v>
      </c>
    </row>
    <row r="6" spans="1:24" x14ac:dyDescent="0.3">
      <c r="A6">
        <v>1002</v>
      </c>
      <c r="B6">
        <v>8</v>
      </c>
      <c r="C6" s="1">
        <v>45851</v>
      </c>
      <c r="D6" t="s">
        <v>41</v>
      </c>
      <c r="E6" t="s">
        <v>43</v>
      </c>
      <c r="F6">
        <v>5</v>
      </c>
      <c r="G6">
        <v>8</v>
      </c>
      <c r="H6" t="s">
        <v>79</v>
      </c>
      <c r="I6" t="s">
        <v>80</v>
      </c>
      <c r="J6" t="s">
        <v>81</v>
      </c>
      <c r="K6" t="s">
        <v>62</v>
      </c>
      <c r="L6" s="1">
        <v>45069</v>
      </c>
      <c r="M6">
        <v>6</v>
      </c>
      <c r="N6">
        <v>1002</v>
      </c>
      <c r="O6">
        <v>3</v>
      </c>
      <c r="P6">
        <v>2</v>
      </c>
      <c r="Q6">
        <v>1799</v>
      </c>
      <c r="R6">
        <v>0</v>
      </c>
      <c r="S6">
        <v>3598</v>
      </c>
      <c r="T6">
        <v>3</v>
      </c>
      <c r="U6" t="s">
        <v>8</v>
      </c>
      <c r="V6" t="s">
        <v>6</v>
      </c>
      <c r="W6">
        <v>1799</v>
      </c>
      <c r="X6">
        <v>980</v>
      </c>
    </row>
    <row r="7" spans="1:24" x14ac:dyDescent="0.3">
      <c r="A7">
        <v>1011</v>
      </c>
      <c r="B7">
        <v>8</v>
      </c>
      <c r="C7" s="1">
        <v>45843</v>
      </c>
      <c r="D7" t="s">
        <v>47</v>
      </c>
      <c r="E7" t="s">
        <v>43</v>
      </c>
      <c r="F7">
        <v>0</v>
      </c>
      <c r="G7">
        <v>8</v>
      </c>
      <c r="H7" t="s">
        <v>79</v>
      </c>
      <c r="I7" t="s">
        <v>80</v>
      </c>
      <c r="J7" t="s">
        <v>81</v>
      </c>
      <c r="K7" t="s">
        <v>62</v>
      </c>
      <c r="L7" s="1">
        <v>45069</v>
      </c>
      <c r="M7">
        <v>26</v>
      </c>
      <c r="N7">
        <v>1011</v>
      </c>
      <c r="O7">
        <v>2</v>
      </c>
      <c r="P7">
        <v>2</v>
      </c>
      <c r="Q7">
        <v>2499</v>
      </c>
      <c r="R7">
        <v>0</v>
      </c>
      <c r="S7">
        <v>4998</v>
      </c>
      <c r="T7">
        <v>2</v>
      </c>
      <c r="U7" t="s">
        <v>7</v>
      </c>
      <c r="V7" t="s">
        <v>6</v>
      </c>
      <c r="W7">
        <v>2499</v>
      </c>
      <c r="X7">
        <v>1500</v>
      </c>
    </row>
    <row r="8" spans="1:24" x14ac:dyDescent="0.3">
      <c r="A8">
        <v>1001</v>
      </c>
      <c r="B8">
        <v>28</v>
      </c>
      <c r="C8" s="1">
        <v>45832</v>
      </c>
      <c r="D8" t="s">
        <v>41</v>
      </c>
      <c r="E8" t="s">
        <v>42</v>
      </c>
      <c r="F8">
        <v>2</v>
      </c>
      <c r="G8">
        <v>28</v>
      </c>
      <c r="H8" t="s">
        <v>115</v>
      </c>
      <c r="I8" t="s">
        <v>80</v>
      </c>
      <c r="J8" t="s">
        <v>81</v>
      </c>
      <c r="K8" t="s">
        <v>58</v>
      </c>
      <c r="L8" s="1">
        <v>45592</v>
      </c>
      <c r="M8">
        <v>3</v>
      </c>
      <c r="N8">
        <v>1001</v>
      </c>
      <c r="O8">
        <v>13</v>
      </c>
      <c r="P8">
        <v>2</v>
      </c>
      <c r="Q8">
        <v>10999</v>
      </c>
      <c r="R8">
        <v>0.15</v>
      </c>
      <c r="S8">
        <v>18698</v>
      </c>
      <c r="T8">
        <v>13</v>
      </c>
      <c r="U8" t="s">
        <v>22</v>
      </c>
      <c r="V8" t="s">
        <v>6</v>
      </c>
      <c r="W8">
        <v>10999</v>
      </c>
      <c r="X8">
        <v>7900</v>
      </c>
    </row>
    <row r="9" spans="1:24" x14ac:dyDescent="0.3">
      <c r="A9">
        <v>1037</v>
      </c>
      <c r="B9">
        <v>25</v>
      </c>
      <c r="C9" s="1">
        <v>46004</v>
      </c>
      <c r="D9" t="s">
        <v>44</v>
      </c>
      <c r="E9" t="s">
        <v>45</v>
      </c>
      <c r="F9">
        <v>2</v>
      </c>
      <c r="G9">
        <v>25</v>
      </c>
      <c r="H9" t="s">
        <v>112</v>
      </c>
      <c r="I9" t="s">
        <v>71</v>
      </c>
      <c r="J9" t="s">
        <v>72</v>
      </c>
      <c r="K9" t="s">
        <v>58</v>
      </c>
      <c r="L9" s="1">
        <v>45501</v>
      </c>
      <c r="M9">
        <v>84</v>
      </c>
      <c r="N9">
        <v>1037</v>
      </c>
      <c r="O9">
        <v>13</v>
      </c>
      <c r="P9">
        <v>1</v>
      </c>
      <c r="Q9">
        <v>10999</v>
      </c>
      <c r="R9">
        <v>0</v>
      </c>
      <c r="S9">
        <v>10999</v>
      </c>
      <c r="T9">
        <v>13</v>
      </c>
      <c r="U9" t="s">
        <v>22</v>
      </c>
      <c r="V9" t="s">
        <v>6</v>
      </c>
      <c r="W9">
        <v>10999</v>
      </c>
      <c r="X9">
        <v>7900</v>
      </c>
    </row>
    <row r="10" spans="1:24" x14ac:dyDescent="0.3">
      <c r="A10">
        <v>1028</v>
      </c>
      <c r="B10">
        <v>1</v>
      </c>
      <c r="C10" s="1">
        <v>45828</v>
      </c>
      <c r="D10" t="s">
        <v>47</v>
      </c>
      <c r="E10" t="s">
        <v>42</v>
      </c>
      <c r="F10">
        <v>0</v>
      </c>
      <c r="G10">
        <v>1</v>
      </c>
      <c r="H10" t="s">
        <v>55</v>
      </c>
      <c r="I10" t="s">
        <v>56</v>
      </c>
      <c r="J10" t="s">
        <v>57</v>
      </c>
      <c r="K10" t="s">
        <v>58</v>
      </c>
      <c r="L10" s="1">
        <v>45581</v>
      </c>
      <c r="M10">
        <v>62</v>
      </c>
      <c r="N10">
        <v>1028</v>
      </c>
      <c r="O10">
        <v>6</v>
      </c>
      <c r="P10">
        <v>2</v>
      </c>
      <c r="Q10">
        <v>1899</v>
      </c>
      <c r="R10">
        <v>0.15</v>
      </c>
      <c r="S10">
        <v>3228</v>
      </c>
      <c r="T10">
        <v>6</v>
      </c>
      <c r="U10" t="s">
        <v>12</v>
      </c>
      <c r="V10" t="s">
        <v>11</v>
      </c>
      <c r="W10">
        <v>1899</v>
      </c>
      <c r="X10">
        <v>950</v>
      </c>
    </row>
    <row r="11" spans="1:24" x14ac:dyDescent="0.3">
      <c r="A11">
        <v>1004</v>
      </c>
      <c r="B11">
        <v>5</v>
      </c>
      <c r="C11" s="1">
        <v>45969</v>
      </c>
      <c r="D11" t="s">
        <v>44</v>
      </c>
      <c r="E11" t="s">
        <v>45</v>
      </c>
      <c r="F11">
        <v>2</v>
      </c>
      <c r="G11">
        <v>5</v>
      </c>
      <c r="H11" t="s">
        <v>70</v>
      </c>
      <c r="I11" t="s">
        <v>71</v>
      </c>
      <c r="J11" t="s">
        <v>72</v>
      </c>
      <c r="K11" t="s">
        <v>62</v>
      </c>
      <c r="L11" s="1">
        <v>45208</v>
      </c>
      <c r="M11">
        <v>9</v>
      </c>
      <c r="N11">
        <v>1004</v>
      </c>
      <c r="O11">
        <v>6</v>
      </c>
      <c r="P11">
        <v>1</v>
      </c>
      <c r="Q11">
        <v>1899</v>
      </c>
      <c r="R11">
        <v>0.2</v>
      </c>
      <c r="S11">
        <v>1519</v>
      </c>
      <c r="T11">
        <v>6</v>
      </c>
      <c r="U11" t="s">
        <v>12</v>
      </c>
      <c r="V11" t="s">
        <v>11</v>
      </c>
      <c r="W11">
        <v>1899</v>
      </c>
      <c r="X11">
        <v>950</v>
      </c>
    </row>
    <row r="12" spans="1:24" x14ac:dyDescent="0.3">
      <c r="A12">
        <v>1028</v>
      </c>
      <c r="B12">
        <v>1</v>
      </c>
      <c r="C12" s="1">
        <v>45828</v>
      </c>
      <c r="D12" t="s">
        <v>47</v>
      </c>
      <c r="E12" t="s">
        <v>42</v>
      </c>
      <c r="F12">
        <v>0</v>
      </c>
      <c r="G12">
        <v>1</v>
      </c>
      <c r="H12" t="s">
        <v>55</v>
      </c>
      <c r="I12" t="s">
        <v>56</v>
      </c>
      <c r="J12" t="s">
        <v>57</v>
      </c>
      <c r="K12" t="s">
        <v>58</v>
      </c>
      <c r="L12" s="1">
        <v>45581</v>
      </c>
      <c r="M12">
        <v>63</v>
      </c>
      <c r="N12">
        <v>1028</v>
      </c>
      <c r="O12">
        <v>15</v>
      </c>
      <c r="P12">
        <v>1</v>
      </c>
      <c r="Q12">
        <v>349</v>
      </c>
      <c r="R12">
        <v>0</v>
      </c>
      <c r="S12">
        <v>349</v>
      </c>
      <c r="T12">
        <v>15</v>
      </c>
      <c r="U12" t="s">
        <v>24</v>
      </c>
      <c r="V12" t="s">
        <v>11</v>
      </c>
      <c r="W12">
        <v>349</v>
      </c>
      <c r="X12">
        <v>120</v>
      </c>
    </row>
    <row r="13" spans="1:24" x14ac:dyDescent="0.3">
      <c r="A13">
        <v>1039</v>
      </c>
      <c r="B13">
        <v>2</v>
      </c>
      <c r="C13" s="1">
        <v>45681</v>
      </c>
      <c r="D13" t="s">
        <v>41</v>
      </c>
      <c r="E13" t="s">
        <v>45</v>
      </c>
      <c r="F13">
        <v>4</v>
      </c>
      <c r="G13">
        <v>2</v>
      </c>
      <c r="H13" t="s">
        <v>59</v>
      </c>
      <c r="I13" t="s">
        <v>60</v>
      </c>
      <c r="J13" t="s">
        <v>61</v>
      </c>
      <c r="K13" t="s">
        <v>62</v>
      </c>
      <c r="L13" s="1">
        <v>45041</v>
      </c>
      <c r="M13">
        <v>91</v>
      </c>
      <c r="N13">
        <v>1039</v>
      </c>
      <c r="O13">
        <v>15</v>
      </c>
      <c r="P13">
        <v>1</v>
      </c>
      <c r="Q13">
        <v>349</v>
      </c>
      <c r="R13">
        <v>0.2</v>
      </c>
      <c r="S13">
        <v>279</v>
      </c>
      <c r="T13">
        <v>15</v>
      </c>
      <c r="U13" t="s">
        <v>24</v>
      </c>
      <c r="V13" t="s">
        <v>11</v>
      </c>
      <c r="W13">
        <v>349</v>
      </c>
      <c r="X13">
        <v>120</v>
      </c>
    </row>
    <row r="14" spans="1:24" x14ac:dyDescent="0.3">
      <c r="A14">
        <v>1004</v>
      </c>
      <c r="B14">
        <v>5</v>
      </c>
      <c r="C14" s="1">
        <v>45969</v>
      </c>
      <c r="D14" t="s">
        <v>44</v>
      </c>
      <c r="E14" t="s">
        <v>45</v>
      </c>
      <c r="F14">
        <v>2</v>
      </c>
      <c r="G14">
        <v>5</v>
      </c>
      <c r="H14" t="s">
        <v>70</v>
      </c>
      <c r="I14" t="s">
        <v>71</v>
      </c>
      <c r="J14" t="s">
        <v>72</v>
      </c>
      <c r="K14" t="s">
        <v>62</v>
      </c>
      <c r="L14" s="1">
        <v>45208</v>
      </c>
      <c r="M14">
        <v>10</v>
      </c>
      <c r="N14">
        <v>1004</v>
      </c>
      <c r="O14">
        <v>15</v>
      </c>
      <c r="P14">
        <v>2</v>
      </c>
      <c r="Q14">
        <v>349</v>
      </c>
      <c r="R14">
        <v>0</v>
      </c>
      <c r="S14">
        <v>698</v>
      </c>
      <c r="T14">
        <v>15</v>
      </c>
      <c r="U14" t="s">
        <v>24</v>
      </c>
      <c r="V14" t="s">
        <v>11</v>
      </c>
      <c r="W14">
        <v>349</v>
      </c>
      <c r="X14">
        <v>120</v>
      </c>
    </row>
    <row r="15" spans="1:24" x14ac:dyDescent="0.3">
      <c r="A15">
        <v>1028</v>
      </c>
      <c r="B15">
        <v>1</v>
      </c>
      <c r="C15" s="1">
        <v>45828</v>
      </c>
      <c r="D15" t="s">
        <v>47</v>
      </c>
      <c r="E15" t="s">
        <v>42</v>
      </c>
      <c r="F15">
        <v>0</v>
      </c>
      <c r="G15">
        <v>1</v>
      </c>
      <c r="H15" t="s">
        <v>55</v>
      </c>
      <c r="I15" t="s">
        <v>56</v>
      </c>
      <c r="J15" t="s">
        <v>57</v>
      </c>
      <c r="K15" t="s">
        <v>58</v>
      </c>
      <c r="L15" s="1">
        <v>45581</v>
      </c>
      <c r="M15">
        <v>64</v>
      </c>
      <c r="N15">
        <v>1028</v>
      </c>
      <c r="O15">
        <v>18</v>
      </c>
      <c r="P15">
        <v>3</v>
      </c>
      <c r="Q15">
        <v>3299</v>
      </c>
      <c r="R15">
        <v>0.2</v>
      </c>
      <c r="S15">
        <v>7918</v>
      </c>
      <c r="T15">
        <v>18</v>
      </c>
      <c r="U15" t="s">
        <v>27</v>
      </c>
      <c r="V15" t="s">
        <v>19</v>
      </c>
      <c r="W15">
        <v>3299</v>
      </c>
      <c r="X15">
        <v>2050</v>
      </c>
    </row>
    <row r="16" spans="1:24" x14ac:dyDescent="0.3">
      <c r="A16">
        <v>1037</v>
      </c>
      <c r="B16">
        <v>25</v>
      </c>
      <c r="C16" s="1">
        <v>46004</v>
      </c>
      <c r="D16" t="s">
        <v>44</v>
      </c>
      <c r="E16" t="s">
        <v>45</v>
      </c>
      <c r="F16">
        <v>2</v>
      </c>
      <c r="G16">
        <v>25</v>
      </c>
      <c r="H16" t="s">
        <v>112</v>
      </c>
      <c r="I16" t="s">
        <v>71</v>
      </c>
      <c r="J16" t="s">
        <v>72</v>
      </c>
      <c r="K16" t="s">
        <v>58</v>
      </c>
      <c r="L16" s="1">
        <v>45501</v>
      </c>
      <c r="M16">
        <v>85</v>
      </c>
      <c r="N16">
        <v>1037</v>
      </c>
      <c r="O16">
        <v>18</v>
      </c>
      <c r="P16">
        <v>1</v>
      </c>
      <c r="Q16">
        <v>3299</v>
      </c>
      <c r="R16">
        <v>0.15</v>
      </c>
      <c r="S16">
        <v>2804</v>
      </c>
      <c r="T16">
        <v>18</v>
      </c>
      <c r="U16" t="s">
        <v>27</v>
      </c>
      <c r="V16" t="s">
        <v>19</v>
      </c>
      <c r="W16">
        <v>3299</v>
      </c>
      <c r="X16">
        <v>2050</v>
      </c>
    </row>
    <row r="17" spans="1:24" x14ac:dyDescent="0.3">
      <c r="A17">
        <v>1002</v>
      </c>
      <c r="B17">
        <v>8</v>
      </c>
      <c r="C17" s="1">
        <v>45851</v>
      </c>
      <c r="D17" t="s">
        <v>41</v>
      </c>
      <c r="E17" t="s">
        <v>43</v>
      </c>
      <c r="F17">
        <v>5</v>
      </c>
      <c r="G17">
        <v>8</v>
      </c>
      <c r="H17" t="s">
        <v>79</v>
      </c>
      <c r="I17" t="s">
        <v>80</v>
      </c>
      <c r="J17" t="s">
        <v>81</v>
      </c>
      <c r="K17" t="s">
        <v>62</v>
      </c>
      <c r="L17" s="1">
        <v>45069</v>
      </c>
      <c r="M17">
        <v>5</v>
      </c>
      <c r="N17">
        <v>1002</v>
      </c>
      <c r="O17">
        <v>7</v>
      </c>
      <c r="P17">
        <v>2</v>
      </c>
      <c r="Q17">
        <v>999</v>
      </c>
      <c r="R17">
        <v>0</v>
      </c>
      <c r="S17">
        <v>1998</v>
      </c>
      <c r="T17">
        <v>7</v>
      </c>
      <c r="U17" t="s">
        <v>13</v>
      </c>
      <c r="V17" t="s">
        <v>14</v>
      </c>
      <c r="W17">
        <v>999</v>
      </c>
      <c r="X17">
        <v>480</v>
      </c>
    </row>
    <row r="18" spans="1:24" x14ac:dyDescent="0.3">
      <c r="A18">
        <v>1002</v>
      </c>
      <c r="B18">
        <v>8</v>
      </c>
      <c r="C18" s="1">
        <v>45851</v>
      </c>
      <c r="D18" t="s">
        <v>41</v>
      </c>
      <c r="E18" t="s">
        <v>43</v>
      </c>
      <c r="F18">
        <v>5</v>
      </c>
      <c r="G18">
        <v>8</v>
      </c>
      <c r="H18" t="s">
        <v>79</v>
      </c>
      <c r="I18" t="s">
        <v>80</v>
      </c>
      <c r="J18" t="s">
        <v>81</v>
      </c>
      <c r="K18" t="s">
        <v>62</v>
      </c>
      <c r="L18" s="1">
        <v>45069</v>
      </c>
      <c r="M18">
        <v>4</v>
      </c>
      <c r="N18">
        <v>1002</v>
      </c>
      <c r="O18">
        <v>19</v>
      </c>
      <c r="P18">
        <v>1</v>
      </c>
      <c r="Q18">
        <v>499</v>
      </c>
      <c r="R18">
        <v>0</v>
      </c>
      <c r="S18">
        <v>499</v>
      </c>
      <c r="T18">
        <v>19</v>
      </c>
      <c r="U18" t="s">
        <v>28</v>
      </c>
      <c r="V18" t="s">
        <v>11</v>
      </c>
      <c r="W18">
        <v>499</v>
      </c>
      <c r="X18">
        <v>220</v>
      </c>
    </row>
    <row r="19" spans="1:24" x14ac:dyDescent="0.3">
      <c r="A19">
        <v>1011</v>
      </c>
      <c r="B19">
        <v>8</v>
      </c>
      <c r="C19" s="1">
        <v>45843</v>
      </c>
      <c r="D19" t="s">
        <v>47</v>
      </c>
      <c r="E19" t="s">
        <v>43</v>
      </c>
      <c r="F19">
        <v>0</v>
      </c>
      <c r="G19">
        <v>8</v>
      </c>
      <c r="H19" t="s">
        <v>79</v>
      </c>
      <c r="I19" t="s">
        <v>80</v>
      </c>
      <c r="J19" t="s">
        <v>81</v>
      </c>
      <c r="K19" t="s">
        <v>62</v>
      </c>
      <c r="L19" s="1">
        <v>45069</v>
      </c>
      <c r="M19">
        <v>27</v>
      </c>
      <c r="N19">
        <v>1011</v>
      </c>
      <c r="O19">
        <v>8</v>
      </c>
      <c r="P19">
        <v>1</v>
      </c>
      <c r="Q19">
        <v>299</v>
      </c>
      <c r="R19">
        <v>0.1</v>
      </c>
      <c r="S19">
        <v>269</v>
      </c>
      <c r="T19">
        <v>8</v>
      </c>
      <c r="U19" t="s">
        <v>15</v>
      </c>
      <c r="V19" t="s">
        <v>16</v>
      </c>
      <c r="W19">
        <v>299</v>
      </c>
      <c r="X19">
        <v>110</v>
      </c>
    </row>
    <row r="20" spans="1:24" x14ac:dyDescent="0.3">
      <c r="A20">
        <v>1003</v>
      </c>
      <c r="B20">
        <v>25</v>
      </c>
      <c r="C20" s="1">
        <v>45800</v>
      </c>
      <c r="D20" t="s">
        <v>41</v>
      </c>
      <c r="E20" t="s">
        <v>43</v>
      </c>
      <c r="F20">
        <v>6</v>
      </c>
      <c r="G20">
        <v>25</v>
      </c>
      <c r="H20" t="s">
        <v>112</v>
      </c>
      <c r="I20" t="s">
        <v>71</v>
      </c>
      <c r="J20" t="s">
        <v>72</v>
      </c>
      <c r="K20" t="s">
        <v>58</v>
      </c>
      <c r="L20" s="1">
        <v>45501</v>
      </c>
      <c r="M20">
        <v>7</v>
      </c>
      <c r="N20">
        <v>1003</v>
      </c>
      <c r="O20">
        <v>12</v>
      </c>
      <c r="P20">
        <v>1</v>
      </c>
      <c r="Q20">
        <v>399</v>
      </c>
      <c r="R20">
        <v>0.05</v>
      </c>
      <c r="S20">
        <v>379</v>
      </c>
      <c r="T20">
        <v>12</v>
      </c>
      <c r="U20" t="s">
        <v>21</v>
      </c>
      <c r="V20" t="s">
        <v>14</v>
      </c>
      <c r="W20">
        <v>399</v>
      </c>
      <c r="X20">
        <v>140</v>
      </c>
    </row>
    <row r="21" spans="1:24" x14ac:dyDescent="0.3">
      <c r="A21">
        <v>1003</v>
      </c>
      <c r="B21">
        <v>25</v>
      </c>
      <c r="C21" s="1">
        <v>45800</v>
      </c>
      <c r="D21" t="s">
        <v>41</v>
      </c>
      <c r="E21" t="s">
        <v>43</v>
      </c>
      <c r="F21">
        <v>6</v>
      </c>
      <c r="G21">
        <v>25</v>
      </c>
      <c r="H21" t="s">
        <v>112</v>
      </c>
      <c r="I21" t="s">
        <v>71</v>
      </c>
      <c r="J21" t="s">
        <v>72</v>
      </c>
      <c r="K21" t="s">
        <v>58</v>
      </c>
      <c r="L21" s="1">
        <v>45501</v>
      </c>
      <c r="M21">
        <v>8</v>
      </c>
      <c r="N21">
        <v>1003</v>
      </c>
      <c r="O21">
        <v>20</v>
      </c>
      <c r="P21">
        <v>2</v>
      </c>
      <c r="Q21">
        <v>449</v>
      </c>
      <c r="R21">
        <v>0.2</v>
      </c>
      <c r="S21">
        <v>718</v>
      </c>
      <c r="T21">
        <v>20</v>
      </c>
      <c r="U21" t="s">
        <v>29</v>
      </c>
      <c r="V21" t="s">
        <v>16</v>
      </c>
      <c r="W21">
        <v>449</v>
      </c>
      <c r="X21">
        <v>180</v>
      </c>
    </row>
    <row r="22" spans="1:24" x14ac:dyDescent="0.3">
      <c r="A22">
        <v>1012</v>
      </c>
      <c r="B22">
        <v>5</v>
      </c>
      <c r="C22" s="1">
        <v>45930</v>
      </c>
      <c r="D22" t="s">
        <v>47</v>
      </c>
      <c r="E22" t="s">
        <v>42</v>
      </c>
      <c r="F22">
        <v>0</v>
      </c>
      <c r="G22">
        <v>5</v>
      </c>
      <c r="H22" t="s">
        <v>70</v>
      </c>
      <c r="I22" t="s">
        <v>71</v>
      </c>
      <c r="J22" t="s">
        <v>72</v>
      </c>
      <c r="K22" t="s">
        <v>62</v>
      </c>
      <c r="L22" s="1">
        <v>45208</v>
      </c>
      <c r="M22">
        <v>28</v>
      </c>
      <c r="N22">
        <v>1012</v>
      </c>
      <c r="O22">
        <v>16</v>
      </c>
      <c r="P22">
        <v>1</v>
      </c>
      <c r="Q22">
        <v>1599</v>
      </c>
      <c r="R22">
        <v>0.15</v>
      </c>
      <c r="S22">
        <v>1359</v>
      </c>
      <c r="T22">
        <v>16</v>
      </c>
      <c r="U22" t="s">
        <v>25</v>
      </c>
      <c r="V22" t="s">
        <v>6</v>
      </c>
      <c r="W22">
        <v>1599</v>
      </c>
      <c r="X22">
        <v>900</v>
      </c>
    </row>
    <row r="23" spans="1:24" x14ac:dyDescent="0.3">
      <c r="A23">
        <v>1012</v>
      </c>
      <c r="B23">
        <v>5</v>
      </c>
      <c r="C23" s="1">
        <v>45930</v>
      </c>
      <c r="D23" t="s">
        <v>47</v>
      </c>
      <c r="E23" t="s">
        <v>42</v>
      </c>
      <c r="F23">
        <v>0</v>
      </c>
      <c r="G23">
        <v>5</v>
      </c>
      <c r="H23" t="s">
        <v>70</v>
      </c>
      <c r="I23" t="s">
        <v>71</v>
      </c>
      <c r="J23" t="s">
        <v>72</v>
      </c>
      <c r="K23" t="s">
        <v>62</v>
      </c>
      <c r="L23" s="1">
        <v>45208</v>
      </c>
      <c r="M23">
        <v>29</v>
      </c>
      <c r="N23">
        <v>1012</v>
      </c>
      <c r="O23">
        <v>18</v>
      </c>
      <c r="P23">
        <v>2</v>
      </c>
      <c r="Q23">
        <v>3299</v>
      </c>
      <c r="R23">
        <v>0.1</v>
      </c>
      <c r="S23">
        <v>5938</v>
      </c>
      <c r="T23">
        <v>18</v>
      </c>
      <c r="U23" t="s">
        <v>27</v>
      </c>
      <c r="V23" t="s">
        <v>19</v>
      </c>
      <c r="W23">
        <v>3299</v>
      </c>
      <c r="X23">
        <v>2050</v>
      </c>
    </row>
    <row r="24" spans="1:24" x14ac:dyDescent="0.3">
      <c r="A24">
        <v>1005</v>
      </c>
      <c r="B24">
        <v>21</v>
      </c>
      <c r="C24" s="1">
        <v>45686</v>
      </c>
      <c r="D24" t="s">
        <v>41</v>
      </c>
      <c r="E24" t="s">
        <v>46</v>
      </c>
      <c r="F24">
        <v>7</v>
      </c>
      <c r="G24">
        <v>21</v>
      </c>
      <c r="H24" t="s">
        <v>108</v>
      </c>
      <c r="I24" t="s">
        <v>56</v>
      </c>
      <c r="J24" t="s">
        <v>57</v>
      </c>
      <c r="K24" t="s">
        <v>66</v>
      </c>
      <c r="L24" s="1">
        <v>45165</v>
      </c>
      <c r="M24">
        <v>11</v>
      </c>
      <c r="N24">
        <v>1005</v>
      </c>
      <c r="O24">
        <v>13</v>
      </c>
      <c r="P24">
        <v>1</v>
      </c>
      <c r="Q24">
        <v>10999</v>
      </c>
      <c r="R24">
        <v>0.15</v>
      </c>
      <c r="S24">
        <v>9349</v>
      </c>
      <c r="T24">
        <v>13</v>
      </c>
      <c r="U24" t="s">
        <v>22</v>
      </c>
      <c r="V24" t="s">
        <v>6</v>
      </c>
      <c r="W24">
        <v>10999</v>
      </c>
      <c r="X24">
        <v>7900</v>
      </c>
    </row>
    <row r="25" spans="1:24" x14ac:dyDescent="0.3">
      <c r="A25">
        <v>1005</v>
      </c>
      <c r="B25">
        <v>21</v>
      </c>
      <c r="C25" s="1">
        <v>45686</v>
      </c>
      <c r="D25" t="s">
        <v>41</v>
      </c>
      <c r="E25" t="s">
        <v>46</v>
      </c>
      <c r="F25">
        <v>7</v>
      </c>
      <c r="G25">
        <v>21</v>
      </c>
      <c r="H25" t="s">
        <v>108</v>
      </c>
      <c r="I25" t="s">
        <v>56</v>
      </c>
      <c r="J25" t="s">
        <v>57</v>
      </c>
      <c r="K25" t="s">
        <v>66</v>
      </c>
      <c r="L25" s="1">
        <v>45165</v>
      </c>
      <c r="M25">
        <v>12</v>
      </c>
      <c r="N25">
        <v>1005</v>
      </c>
      <c r="O25">
        <v>9</v>
      </c>
      <c r="P25">
        <v>2</v>
      </c>
      <c r="Q25">
        <v>199</v>
      </c>
      <c r="R25">
        <v>0.05</v>
      </c>
      <c r="S25">
        <v>378</v>
      </c>
      <c r="T25">
        <v>9</v>
      </c>
      <c r="U25" t="s">
        <v>17</v>
      </c>
      <c r="V25" t="s">
        <v>16</v>
      </c>
      <c r="W25">
        <v>199</v>
      </c>
      <c r="X25">
        <v>65</v>
      </c>
    </row>
    <row r="26" spans="1:24" x14ac:dyDescent="0.3">
      <c r="A26">
        <v>1005</v>
      </c>
      <c r="B26">
        <v>21</v>
      </c>
      <c r="C26" s="1">
        <v>45686</v>
      </c>
      <c r="D26" t="s">
        <v>41</v>
      </c>
      <c r="E26" t="s">
        <v>46</v>
      </c>
      <c r="F26">
        <v>7</v>
      </c>
      <c r="G26">
        <v>21</v>
      </c>
      <c r="H26" t="s">
        <v>108</v>
      </c>
      <c r="I26" t="s">
        <v>56</v>
      </c>
      <c r="J26" t="s">
        <v>57</v>
      </c>
      <c r="K26" t="s">
        <v>66</v>
      </c>
      <c r="L26" s="1">
        <v>45165</v>
      </c>
      <c r="M26">
        <v>13</v>
      </c>
      <c r="N26">
        <v>1005</v>
      </c>
      <c r="O26">
        <v>3</v>
      </c>
      <c r="P26">
        <v>1</v>
      </c>
      <c r="Q26">
        <v>1799</v>
      </c>
      <c r="R26">
        <v>0.1</v>
      </c>
      <c r="S26">
        <v>1619</v>
      </c>
      <c r="T26">
        <v>3</v>
      </c>
      <c r="U26" t="s">
        <v>8</v>
      </c>
      <c r="V26" t="s">
        <v>6</v>
      </c>
      <c r="W26">
        <v>1799</v>
      </c>
      <c r="X26">
        <v>980</v>
      </c>
    </row>
    <row r="27" spans="1:24" x14ac:dyDescent="0.3">
      <c r="A27">
        <v>1034</v>
      </c>
      <c r="B27">
        <v>21</v>
      </c>
      <c r="C27" s="1">
        <v>45881</v>
      </c>
      <c r="D27" t="s">
        <v>48</v>
      </c>
      <c r="E27" t="s">
        <v>45</v>
      </c>
      <c r="F27">
        <v>0</v>
      </c>
      <c r="G27">
        <v>21</v>
      </c>
      <c r="H27" t="s">
        <v>108</v>
      </c>
      <c r="I27" t="s">
        <v>56</v>
      </c>
      <c r="J27" t="s">
        <v>57</v>
      </c>
      <c r="K27" t="s">
        <v>66</v>
      </c>
      <c r="L27" s="1">
        <v>45165</v>
      </c>
      <c r="M27">
        <v>78</v>
      </c>
      <c r="N27">
        <v>1034</v>
      </c>
      <c r="O27">
        <v>13</v>
      </c>
      <c r="P27">
        <v>2</v>
      </c>
      <c r="Q27">
        <v>10999</v>
      </c>
      <c r="R27">
        <v>0</v>
      </c>
      <c r="S27">
        <v>21998</v>
      </c>
      <c r="T27">
        <v>13</v>
      </c>
      <c r="U27" t="s">
        <v>22</v>
      </c>
      <c r="V27" t="s">
        <v>6</v>
      </c>
      <c r="W27">
        <v>10999</v>
      </c>
      <c r="X27">
        <v>7900</v>
      </c>
    </row>
    <row r="28" spans="1:24" x14ac:dyDescent="0.3">
      <c r="A28">
        <v>1036</v>
      </c>
      <c r="B28">
        <v>21</v>
      </c>
      <c r="C28" s="1">
        <v>45997</v>
      </c>
      <c r="D28" t="s">
        <v>47</v>
      </c>
      <c r="E28" t="s">
        <v>46</v>
      </c>
      <c r="F28">
        <v>0</v>
      </c>
      <c r="G28">
        <v>21</v>
      </c>
      <c r="H28" t="s">
        <v>108</v>
      </c>
      <c r="I28" t="s">
        <v>56</v>
      </c>
      <c r="J28" t="s">
        <v>57</v>
      </c>
      <c r="K28" t="s">
        <v>66</v>
      </c>
      <c r="L28" s="1">
        <v>45165</v>
      </c>
      <c r="M28">
        <v>81</v>
      </c>
      <c r="N28">
        <v>1036</v>
      </c>
      <c r="O28">
        <v>17</v>
      </c>
      <c r="P28">
        <v>1</v>
      </c>
      <c r="Q28">
        <v>8499</v>
      </c>
      <c r="R28">
        <v>0.2</v>
      </c>
      <c r="S28">
        <v>6799</v>
      </c>
      <c r="T28">
        <v>17</v>
      </c>
      <c r="U28" t="s">
        <v>26</v>
      </c>
      <c r="V28" t="s">
        <v>14</v>
      </c>
      <c r="W28">
        <v>8499</v>
      </c>
      <c r="X28">
        <v>6100</v>
      </c>
    </row>
    <row r="29" spans="1:24" x14ac:dyDescent="0.3">
      <c r="A29">
        <v>1036</v>
      </c>
      <c r="B29">
        <v>21</v>
      </c>
      <c r="C29" s="1">
        <v>45997</v>
      </c>
      <c r="D29" t="s">
        <v>47</v>
      </c>
      <c r="E29" t="s">
        <v>46</v>
      </c>
      <c r="F29">
        <v>0</v>
      </c>
      <c r="G29">
        <v>21</v>
      </c>
      <c r="H29" t="s">
        <v>108</v>
      </c>
      <c r="I29" t="s">
        <v>56</v>
      </c>
      <c r="J29" t="s">
        <v>57</v>
      </c>
      <c r="K29" t="s">
        <v>66</v>
      </c>
      <c r="L29" s="1">
        <v>45165</v>
      </c>
      <c r="M29">
        <v>82</v>
      </c>
      <c r="N29">
        <v>1036</v>
      </c>
      <c r="O29">
        <v>10</v>
      </c>
      <c r="P29">
        <v>1</v>
      </c>
      <c r="Q29">
        <v>599</v>
      </c>
      <c r="R29">
        <v>0</v>
      </c>
      <c r="S29">
        <v>599</v>
      </c>
      <c r="T29">
        <v>10</v>
      </c>
      <c r="U29" t="s">
        <v>18</v>
      </c>
      <c r="V29" t="s">
        <v>19</v>
      </c>
      <c r="W29">
        <v>599</v>
      </c>
      <c r="X29">
        <v>260</v>
      </c>
    </row>
    <row r="30" spans="1:24" x14ac:dyDescent="0.3">
      <c r="A30">
        <v>1036</v>
      </c>
      <c r="B30">
        <v>21</v>
      </c>
      <c r="C30" s="1">
        <v>45997</v>
      </c>
      <c r="D30" t="s">
        <v>47</v>
      </c>
      <c r="E30" t="s">
        <v>46</v>
      </c>
      <c r="F30">
        <v>0</v>
      </c>
      <c r="G30">
        <v>21</v>
      </c>
      <c r="H30" t="s">
        <v>108</v>
      </c>
      <c r="I30" t="s">
        <v>56</v>
      </c>
      <c r="J30" t="s">
        <v>57</v>
      </c>
      <c r="K30" t="s">
        <v>66</v>
      </c>
      <c r="L30" s="1">
        <v>45165</v>
      </c>
      <c r="M30">
        <v>83</v>
      </c>
      <c r="N30">
        <v>1036</v>
      </c>
      <c r="O30">
        <v>14</v>
      </c>
      <c r="P30">
        <v>1</v>
      </c>
      <c r="Q30">
        <v>2499</v>
      </c>
      <c r="R30">
        <v>0.2</v>
      </c>
      <c r="S30">
        <v>1999</v>
      </c>
      <c r="T30">
        <v>14</v>
      </c>
      <c r="U30" t="s">
        <v>23</v>
      </c>
      <c r="V30" t="s">
        <v>6</v>
      </c>
      <c r="W30">
        <v>2499</v>
      </c>
      <c r="X30">
        <v>1500</v>
      </c>
    </row>
    <row r="31" spans="1:24" x14ac:dyDescent="0.3">
      <c r="A31">
        <v>1006</v>
      </c>
      <c r="B31">
        <v>26</v>
      </c>
      <c r="C31" s="1">
        <v>45987</v>
      </c>
      <c r="D31" t="s">
        <v>41</v>
      </c>
      <c r="E31" t="s">
        <v>43</v>
      </c>
      <c r="F31">
        <v>2</v>
      </c>
      <c r="G31">
        <v>26</v>
      </c>
      <c r="H31" t="s">
        <v>113</v>
      </c>
      <c r="I31" t="s">
        <v>74</v>
      </c>
      <c r="J31" t="s">
        <v>75</v>
      </c>
      <c r="K31" t="s">
        <v>62</v>
      </c>
      <c r="L31" s="1">
        <v>45130</v>
      </c>
      <c r="M31">
        <v>14</v>
      </c>
      <c r="N31">
        <v>1006</v>
      </c>
      <c r="O31">
        <v>8</v>
      </c>
      <c r="P31">
        <v>1</v>
      </c>
      <c r="Q31">
        <v>299</v>
      </c>
      <c r="R31">
        <v>0.2</v>
      </c>
      <c r="S31">
        <v>239</v>
      </c>
      <c r="T31">
        <v>8</v>
      </c>
      <c r="U31" t="s">
        <v>15</v>
      </c>
      <c r="V31" t="s">
        <v>16</v>
      </c>
      <c r="W31">
        <v>299</v>
      </c>
      <c r="X31">
        <v>110</v>
      </c>
    </row>
    <row r="32" spans="1:24" x14ac:dyDescent="0.3">
      <c r="A32">
        <v>1006</v>
      </c>
      <c r="B32">
        <v>26</v>
      </c>
      <c r="C32" s="1">
        <v>45987</v>
      </c>
      <c r="D32" t="s">
        <v>41</v>
      </c>
      <c r="E32" t="s">
        <v>43</v>
      </c>
      <c r="F32">
        <v>2</v>
      </c>
      <c r="G32">
        <v>26</v>
      </c>
      <c r="H32" t="s">
        <v>113</v>
      </c>
      <c r="I32" t="s">
        <v>74</v>
      </c>
      <c r="J32" t="s">
        <v>75</v>
      </c>
      <c r="K32" t="s">
        <v>62</v>
      </c>
      <c r="L32" s="1">
        <v>45130</v>
      </c>
      <c r="M32">
        <v>15</v>
      </c>
      <c r="N32">
        <v>1006</v>
      </c>
      <c r="O32">
        <v>18</v>
      </c>
      <c r="P32">
        <v>1</v>
      </c>
      <c r="Q32">
        <v>3299</v>
      </c>
      <c r="R32">
        <v>0.15</v>
      </c>
      <c r="S32">
        <v>2804</v>
      </c>
      <c r="T32">
        <v>18</v>
      </c>
      <c r="U32" t="s">
        <v>27</v>
      </c>
      <c r="V32" t="s">
        <v>19</v>
      </c>
      <c r="W32">
        <v>3299</v>
      </c>
      <c r="X32">
        <v>2050</v>
      </c>
    </row>
    <row r="33" spans="1:24" x14ac:dyDescent="0.3">
      <c r="A33">
        <v>1007</v>
      </c>
      <c r="B33">
        <v>26</v>
      </c>
      <c r="C33" s="1">
        <v>45843</v>
      </c>
      <c r="D33" t="s">
        <v>41</v>
      </c>
      <c r="E33" t="s">
        <v>45</v>
      </c>
      <c r="F33">
        <v>2</v>
      </c>
      <c r="G33">
        <v>26</v>
      </c>
      <c r="H33" t="s">
        <v>113</v>
      </c>
      <c r="I33" t="s">
        <v>74</v>
      </c>
      <c r="J33" t="s">
        <v>75</v>
      </c>
      <c r="K33" t="s">
        <v>62</v>
      </c>
      <c r="L33" s="1">
        <v>45130</v>
      </c>
      <c r="M33">
        <v>16</v>
      </c>
      <c r="N33">
        <v>1007</v>
      </c>
      <c r="O33">
        <v>3</v>
      </c>
      <c r="P33">
        <v>1</v>
      </c>
      <c r="Q33">
        <v>1799</v>
      </c>
      <c r="R33">
        <v>0.2</v>
      </c>
      <c r="S33">
        <v>1439</v>
      </c>
      <c r="T33">
        <v>3</v>
      </c>
      <c r="U33" t="s">
        <v>8</v>
      </c>
      <c r="V33" t="s">
        <v>6</v>
      </c>
      <c r="W33">
        <v>1799</v>
      </c>
      <c r="X33">
        <v>980</v>
      </c>
    </row>
    <row r="34" spans="1:24" x14ac:dyDescent="0.3">
      <c r="A34">
        <v>1007</v>
      </c>
      <c r="B34">
        <v>26</v>
      </c>
      <c r="C34" s="1">
        <v>45843</v>
      </c>
      <c r="D34" t="s">
        <v>41</v>
      </c>
      <c r="E34" t="s">
        <v>45</v>
      </c>
      <c r="F34">
        <v>2</v>
      </c>
      <c r="G34">
        <v>26</v>
      </c>
      <c r="H34" t="s">
        <v>113</v>
      </c>
      <c r="I34" t="s">
        <v>74</v>
      </c>
      <c r="J34" t="s">
        <v>75</v>
      </c>
      <c r="K34" t="s">
        <v>62</v>
      </c>
      <c r="L34" s="1">
        <v>45130</v>
      </c>
      <c r="M34">
        <v>17</v>
      </c>
      <c r="N34">
        <v>1007</v>
      </c>
      <c r="O34">
        <v>2</v>
      </c>
      <c r="P34">
        <v>1</v>
      </c>
      <c r="Q34">
        <v>2499</v>
      </c>
      <c r="R34">
        <v>0</v>
      </c>
      <c r="S34">
        <v>2499</v>
      </c>
      <c r="T34">
        <v>2</v>
      </c>
      <c r="U34" t="s">
        <v>7</v>
      </c>
      <c r="V34" t="s">
        <v>6</v>
      </c>
      <c r="W34">
        <v>2499</v>
      </c>
      <c r="X34">
        <v>1500</v>
      </c>
    </row>
    <row r="35" spans="1:24" x14ac:dyDescent="0.3">
      <c r="A35">
        <v>1007</v>
      </c>
      <c r="B35">
        <v>26</v>
      </c>
      <c r="C35" s="1">
        <v>45843</v>
      </c>
      <c r="D35" t="s">
        <v>41</v>
      </c>
      <c r="E35" t="s">
        <v>45</v>
      </c>
      <c r="F35">
        <v>2</v>
      </c>
      <c r="G35">
        <v>26</v>
      </c>
      <c r="H35" t="s">
        <v>113</v>
      </c>
      <c r="I35" t="s">
        <v>74</v>
      </c>
      <c r="J35" t="s">
        <v>75</v>
      </c>
      <c r="K35" t="s">
        <v>62</v>
      </c>
      <c r="L35" s="1">
        <v>45130</v>
      </c>
      <c r="M35">
        <v>18</v>
      </c>
      <c r="N35">
        <v>1007</v>
      </c>
      <c r="O35">
        <v>4</v>
      </c>
      <c r="P35">
        <v>1</v>
      </c>
      <c r="Q35">
        <v>2199</v>
      </c>
      <c r="R35">
        <v>0.15</v>
      </c>
      <c r="S35">
        <v>1869</v>
      </c>
      <c r="T35">
        <v>4</v>
      </c>
      <c r="U35" t="s">
        <v>9</v>
      </c>
      <c r="V35" t="s">
        <v>6</v>
      </c>
      <c r="W35">
        <v>2199</v>
      </c>
      <c r="X35">
        <v>1250</v>
      </c>
    </row>
    <row r="36" spans="1:24" x14ac:dyDescent="0.3">
      <c r="A36">
        <v>1007</v>
      </c>
      <c r="B36">
        <v>26</v>
      </c>
      <c r="C36" s="1">
        <v>45843</v>
      </c>
      <c r="D36" t="s">
        <v>41</v>
      </c>
      <c r="E36" t="s">
        <v>45</v>
      </c>
      <c r="F36">
        <v>2</v>
      </c>
      <c r="G36">
        <v>26</v>
      </c>
      <c r="H36" t="s">
        <v>113</v>
      </c>
      <c r="I36" t="s">
        <v>74</v>
      </c>
      <c r="J36" t="s">
        <v>75</v>
      </c>
      <c r="K36" t="s">
        <v>62</v>
      </c>
      <c r="L36" s="1">
        <v>45130</v>
      </c>
      <c r="M36">
        <v>19</v>
      </c>
      <c r="N36">
        <v>1007</v>
      </c>
      <c r="O36">
        <v>5</v>
      </c>
      <c r="P36">
        <v>3</v>
      </c>
      <c r="Q36">
        <v>1299</v>
      </c>
      <c r="R36">
        <v>0.15</v>
      </c>
      <c r="S36">
        <v>3312</v>
      </c>
      <c r="T36">
        <v>5</v>
      </c>
      <c r="U36" t="s">
        <v>10</v>
      </c>
      <c r="V36" t="s">
        <v>11</v>
      </c>
      <c r="W36">
        <v>1299</v>
      </c>
      <c r="X36">
        <v>650</v>
      </c>
    </row>
    <row r="37" spans="1:24" x14ac:dyDescent="0.3">
      <c r="A37">
        <v>1017</v>
      </c>
      <c r="B37">
        <v>7</v>
      </c>
      <c r="C37" s="1">
        <v>45689</v>
      </c>
      <c r="D37" t="s">
        <v>41</v>
      </c>
      <c r="E37" t="s">
        <v>43</v>
      </c>
      <c r="F37">
        <v>6</v>
      </c>
      <c r="G37">
        <v>7</v>
      </c>
      <c r="H37" t="s">
        <v>76</v>
      </c>
      <c r="I37" t="s">
        <v>77</v>
      </c>
      <c r="J37" t="s">
        <v>78</v>
      </c>
      <c r="K37" t="s">
        <v>58</v>
      </c>
      <c r="L37" s="1">
        <v>45155</v>
      </c>
      <c r="M37">
        <v>39</v>
      </c>
      <c r="N37">
        <v>1017</v>
      </c>
      <c r="O37">
        <v>8</v>
      </c>
      <c r="P37">
        <v>1</v>
      </c>
      <c r="Q37">
        <v>299</v>
      </c>
      <c r="R37">
        <v>0.15</v>
      </c>
      <c r="S37">
        <v>254</v>
      </c>
      <c r="T37">
        <v>8</v>
      </c>
      <c r="U37" t="s">
        <v>15</v>
      </c>
      <c r="V37" t="s">
        <v>16</v>
      </c>
      <c r="W37">
        <v>299</v>
      </c>
      <c r="X37">
        <v>110</v>
      </c>
    </row>
    <row r="38" spans="1:24" x14ac:dyDescent="0.3">
      <c r="A38">
        <v>1008</v>
      </c>
      <c r="B38">
        <v>17</v>
      </c>
      <c r="C38" s="1">
        <v>45941</v>
      </c>
      <c r="D38" t="s">
        <v>47</v>
      </c>
      <c r="E38" t="s">
        <v>46</v>
      </c>
      <c r="F38">
        <v>0</v>
      </c>
      <c r="G38">
        <v>17</v>
      </c>
      <c r="H38" t="s">
        <v>100</v>
      </c>
      <c r="I38" t="s">
        <v>101</v>
      </c>
      <c r="J38" t="s">
        <v>78</v>
      </c>
      <c r="K38" t="s">
        <v>62</v>
      </c>
      <c r="L38" s="1">
        <v>44959</v>
      </c>
      <c r="M38">
        <v>20</v>
      </c>
      <c r="N38">
        <v>1008</v>
      </c>
      <c r="O38">
        <v>18</v>
      </c>
      <c r="P38">
        <v>2</v>
      </c>
      <c r="Q38">
        <v>3299</v>
      </c>
      <c r="R38">
        <v>0.2</v>
      </c>
      <c r="S38">
        <v>5278</v>
      </c>
      <c r="T38">
        <v>18</v>
      </c>
      <c r="U38" t="s">
        <v>27</v>
      </c>
      <c r="V38" t="s">
        <v>19</v>
      </c>
      <c r="W38">
        <v>3299</v>
      </c>
      <c r="X38">
        <v>2050</v>
      </c>
    </row>
    <row r="39" spans="1:24" x14ac:dyDescent="0.3">
      <c r="A39">
        <v>1020</v>
      </c>
      <c r="B39">
        <v>17</v>
      </c>
      <c r="C39" s="1">
        <v>45890</v>
      </c>
      <c r="D39" t="s">
        <v>41</v>
      </c>
      <c r="E39" t="s">
        <v>45</v>
      </c>
      <c r="F39">
        <v>4</v>
      </c>
      <c r="G39">
        <v>17</v>
      </c>
      <c r="H39" t="s">
        <v>100</v>
      </c>
      <c r="I39" t="s">
        <v>101</v>
      </c>
      <c r="J39" t="s">
        <v>78</v>
      </c>
      <c r="K39" t="s">
        <v>62</v>
      </c>
      <c r="L39" s="1">
        <v>44959</v>
      </c>
      <c r="M39">
        <v>45</v>
      </c>
      <c r="N39">
        <v>1020</v>
      </c>
      <c r="O39">
        <v>5</v>
      </c>
      <c r="P39">
        <v>3</v>
      </c>
      <c r="Q39">
        <v>1299</v>
      </c>
      <c r="R39">
        <v>0.15</v>
      </c>
      <c r="S39">
        <v>3312</v>
      </c>
      <c r="T39">
        <v>5</v>
      </c>
      <c r="U39" t="s">
        <v>10</v>
      </c>
      <c r="V39" t="s">
        <v>11</v>
      </c>
      <c r="W39">
        <v>1299</v>
      </c>
      <c r="X39">
        <v>650</v>
      </c>
    </row>
    <row r="40" spans="1:24" x14ac:dyDescent="0.3">
      <c r="A40">
        <v>1020</v>
      </c>
      <c r="B40">
        <v>17</v>
      </c>
      <c r="C40" s="1">
        <v>45890</v>
      </c>
      <c r="D40" t="s">
        <v>41</v>
      </c>
      <c r="E40" t="s">
        <v>45</v>
      </c>
      <c r="F40">
        <v>4</v>
      </c>
      <c r="G40">
        <v>17</v>
      </c>
      <c r="H40" t="s">
        <v>100</v>
      </c>
      <c r="I40" t="s">
        <v>101</v>
      </c>
      <c r="J40" t="s">
        <v>78</v>
      </c>
      <c r="K40" t="s">
        <v>62</v>
      </c>
      <c r="L40" s="1">
        <v>44959</v>
      </c>
      <c r="M40">
        <v>46</v>
      </c>
      <c r="N40">
        <v>1020</v>
      </c>
      <c r="O40">
        <v>7</v>
      </c>
      <c r="P40">
        <v>2</v>
      </c>
      <c r="Q40">
        <v>999</v>
      </c>
      <c r="R40">
        <v>0</v>
      </c>
      <c r="S40">
        <v>1998</v>
      </c>
      <c r="T40">
        <v>7</v>
      </c>
      <c r="U40" t="s">
        <v>13</v>
      </c>
      <c r="V40" t="s">
        <v>14</v>
      </c>
      <c r="W40">
        <v>999</v>
      </c>
      <c r="X40">
        <v>480</v>
      </c>
    </row>
    <row r="41" spans="1:24" x14ac:dyDescent="0.3">
      <c r="A41">
        <v>1020</v>
      </c>
      <c r="B41">
        <v>17</v>
      </c>
      <c r="C41" s="1">
        <v>45890</v>
      </c>
      <c r="D41" t="s">
        <v>41</v>
      </c>
      <c r="E41" t="s">
        <v>45</v>
      </c>
      <c r="F41">
        <v>4</v>
      </c>
      <c r="G41">
        <v>17</v>
      </c>
      <c r="H41" t="s">
        <v>100</v>
      </c>
      <c r="I41" t="s">
        <v>101</v>
      </c>
      <c r="J41" t="s">
        <v>78</v>
      </c>
      <c r="K41" t="s">
        <v>62</v>
      </c>
      <c r="L41" s="1">
        <v>44959</v>
      </c>
      <c r="M41">
        <v>47</v>
      </c>
      <c r="N41">
        <v>1020</v>
      </c>
      <c r="O41">
        <v>10</v>
      </c>
      <c r="P41">
        <v>2</v>
      </c>
      <c r="Q41">
        <v>599</v>
      </c>
      <c r="R41">
        <v>0</v>
      </c>
      <c r="S41">
        <v>1198</v>
      </c>
      <c r="T41">
        <v>10</v>
      </c>
      <c r="U41" t="s">
        <v>18</v>
      </c>
      <c r="V41" t="s">
        <v>19</v>
      </c>
      <c r="W41">
        <v>599</v>
      </c>
      <c r="X41">
        <v>260</v>
      </c>
    </row>
    <row r="42" spans="1:24" x14ac:dyDescent="0.3">
      <c r="A42">
        <v>1020</v>
      </c>
      <c r="B42">
        <v>17</v>
      </c>
      <c r="C42" s="1">
        <v>45890</v>
      </c>
      <c r="D42" t="s">
        <v>41</v>
      </c>
      <c r="E42" t="s">
        <v>45</v>
      </c>
      <c r="F42">
        <v>4</v>
      </c>
      <c r="G42">
        <v>17</v>
      </c>
      <c r="H42" t="s">
        <v>100</v>
      </c>
      <c r="I42" t="s">
        <v>101</v>
      </c>
      <c r="J42" t="s">
        <v>78</v>
      </c>
      <c r="K42" t="s">
        <v>62</v>
      </c>
      <c r="L42" s="1">
        <v>44959</v>
      </c>
      <c r="M42">
        <v>48</v>
      </c>
      <c r="N42">
        <v>1020</v>
      </c>
      <c r="O42">
        <v>19</v>
      </c>
      <c r="P42">
        <v>1</v>
      </c>
      <c r="Q42">
        <v>499</v>
      </c>
      <c r="R42">
        <v>0.1</v>
      </c>
      <c r="S42">
        <v>449</v>
      </c>
      <c r="T42">
        <v>19</v>
      </c>
      <c r="U42" t="s">
        <v>28</v>
      </c>
      <c r="V42" t="s">
        <v>11</v>
      </c>
      <c r="W42">
        <v>499</v>
      </c>
      <c r="X42">
        <v>220</v>
      </c>
    </row>
    <row r="43" spans="1:24" x14ac:dyDescent="0.3">
      <c r="A43">
        <v>1025</v>
      </c>
      <c r="B43">
        <v>17</v>
      </c>
      <c r="C43" s="1">
        <v>45725</v>
      </c>
      <c r="D43" t="s">
        <v>41</v>
      </c>
      <c r="E43" t="s">
        <v>42</v>
      </c>
      <c r="F43">
        <v>1</v>
      </c>
      <c r="G43">
        <v>17</v>
      </c>
      <c r="H43" t="s">
        <v>100</v>
      </c>
      <c r="I43" t="s">
        <v>101</v>
      </c>
      <c r="J43" t="s">
        <v>78</v>
      </c>
      <c r="K43" t="s">
        <v>62</v>
      </c>
      <c r="L43" s="1">
        <v>44959</v>
      </c>
      <c r="M43">
        <v>55</v>
      </c>
      <c r="N43">
        <v>1025</v>
      </c>
      <c r="O43">
        <v>10</v>
      </c>
      <c r="P43">
        <v>2</v>
      </c>
      <c r="Q43">
        <v>599</v>
      </c>
      <c r="R43">
        <v>0.2</v>
      </c>
      <c r="S43">
        <v>958</v>
      </c>
      <c r="T43">
        <v>10</v>
      </c>
      <c r="U43" t="s">
        <v>18</v>
      </c>
      <c r="V43" t="s">
        <v>19</v>
      </c>
      <c r="W43">
        <v>599</v>
      </c>
      <c r="X43">
        <v>260</v>
      </c>
    </row>
    <row r="44" spans="1:24" x14ac:dyDescent="0.3">
      <c r="A44">
        <v>1025</v>
      </c>
      <c r="B44">
        <v>17</v>
      </c>
      <c r="C44" s="1">
        <v>45725</v>
      </c>
      <c r="D44" t="s">
        <v>41</v>
      </c>
      <c r="E44" t="s">
        <v>42</v>
      </c>
      <c r="F44">
        <v>1</v>
      </c>
      <c r="G44">
        <v>17</v>
      </c>
      <c r="H44" t="s">
        <v>100</v>
      </c>
      <c r="I44" t="s">
        <v>101</v>
      </c>
      <c r="J44" t="s">
        <v>78</v>
      </c>
      <c r="K44" t="s">
        <v>62</v>
      </c>
      <c r="L44" s="1">
        <v>44959</v>
      </c>
      <c r="M44">
        <v>56</v>
      </c>
      <c r="N44">
        <v>1025</v>
      </c>
      <c r="O44">
        <v>6</v>
      </c>
      <c r="P44">
        <v>1</v>
      </c>
      <c r="Q44">
        <v>1899</v>
      </c>
      <c r="R44">
        <v>0.2</v>
      </c>
      <c r="S44">
        <v>1519</v>
      </c>
      <c r="T44">
        <v>6</v>
      </c>
      <c r="U44" t="s">
        <v>12</v>
      </c>
      <c r="V44" t="s">
        <v>11</v>
      </c>
      <c r="W44">
        <v>1899</v>
      </c>
      <c r="X44">
        <v>950</v>
      </c>
    </row>
    <row r="45" spans="1:24" x14ac:dyDescent="0.3">
      <c r="A45">
        <v>1025</v>
      </c>
      <c r="B45">
        <v>17</v>
      </c>
      <c r="C45" s="1">
        <v>45725</v>
      </c>
      <c r="D45" t="s">
        <v>41</v>
      </c>
      <c r="E45" t="s">
        <v>42</v>
      </c>
      <c r="F45">
        <v>1</v>
      </c>
      <c r="G45">
        <v>17</v>
      </c>
      <c r="H45" t="s">
        <v>100</v>
      </c>
      <c r="I45" t="s">
        <v>101</v>
      </c>
      <c r="J45" t="s">
        <v>78</v>
      </c>
      <c r="K45" t="s">
        <v>62</v>
      </c>
      <c r="L45" s="1">
        <v>44959</v>
      </c>
      <c r="M45">
        <v>57</v>
      </c>
      <c r="N45">
        <v>1025</v>
      </c>
      <c r="O45">
        <v>15</v>
      </c>
      <c r="P45">
        <v>1</v>
      </c>
      <c r="Q45">
        <v>349</v>
      </c>
      <c r="R45">
        <v>0.2</v>
      </c>
      <c r="S45">
        <v>279</v>
      </c>
      <c r="T45">
        <v>15</v>
      </c>
      <c r="U45" t="s">
        <v>24</v>
      </c>
      <c r="V45" t="s">
        <v>11</v>
      </c>
      <c r="W45">
        <v>349</v>
      </c>
      <c r="X45">
        <v>120</v>
      </c>
    </row>
    <row r="46" spans="1:24" x14ac:dyDescent="0.3">
      <c r="A46">
        <v>1027</v>
      </c>
      <c r="B46">
        <v>17</v>
      </c>
      <c r="C46" s="1">
        <v>45916</v>
      </c>
      <c r="D46" t="s">
        <v>41</v>
      </c>
      <c r="E46" t="s">
        <v>46</v>
      </c>
      <c r="F46">
        <v>3</v>
      </c>
      <c r="G46">
        <v>17</v>
      </c>
      <c r="H46" t="s">
        <v>100</v>
      </c>
      <c r="I46" t="s">
        <v>101</v>
      </c>
      <c r="J46" t="s">
        <v>78</v>
      </c>
      <c r="K46" t="s">
        <v>62</v>
      </c>
      <c r="L46" s="1">
        <v>44959</v>
      </c>
      <c r="M46">
        <v>61</v>
      </c>
      <c r="N46">
        <v>1027</v>
      </c>
      <c r="O46">
        <v>14</v>
      </c>
      <c r="P46">
        <v>2</v>
      </c>
      <c r="Q46">
        <v>2499</v>
      </c>
      <c r="R46">
        <v>0</v>
      </c>
      <c r="S46">
        <v>4998</v>
      </c>
      <c r="T46">
        <v>14</v>
      </c>
      <c r="U46" t="s">
        <v>23</v>
      </c>
      <c r="V46" t="s">
        <v>6</v>
      </c>
      <c r="W46">
        <v>2499</v>
      </c>
      <c r="X46">
        <v>1500</v>
      </c>
    </row>
    <row r="47" spans="1:24" x14ac:dyDescent="0.3">
      <c r="A47">
        <v>1035</v>
      </c>
      <c r="B47">
        <v>17</v>
      </c>
      <c r="C47" s="1">
        <v>45680</v>
      </c>
      <c r="D47" t="s">
        <v>44</v>
      </c>
      <c r="E47" t="s">
        <v>46</v>
      </c>
      <c r="F47">
        <v>4</v>
      </c>
      <c r="G47">
        <v>17</v>
      </c>
      <c r="H47" t="s">
        <v>100</v>
      </c>
      <c r="I47" t="s">
        <v>101</v>
      </c>
      <c r="J47" t="s">
        <v>78</v>
      </c>
      <c r="K47" t="s">
        <v>62</v>
      </c>
      <c r="L47" s="1">
        <v>44959</v>
      </c>
      <c r="M47">
        <v>79</v>
      </c>
      <c r="N47">
        <v>1035</v>
      </c>
      <c r="O47">
        <v>12</v>
      </c>
      <c r="P47">
        <v>1</v>
      </c>
      <c r="Q47">
        <v>399</v>
      </c>
      <c r="R47">
        <v>0.2</v>
      </c>
      <c r="S47">
        <v>319</v>
      </c>
      <c r="T47">
        <v>12</v>
      </c>
      <c r="U47" t="s">
        <v>21</v>
      </c>
      <c r="V47" t="s">
        <v>14</v>
      </c>
      <c r="W47">
        <v>399</v>
      </c>
      <c r="X47">
        <v>140</v>
      </c>
    </row>
    <row r="48" spans="1:24" x14ac:dyDescent="0.3">
      <c r="A48">
        <v>1035</v>
      </c>
      <c r="B48">
        <v>17</v>
      </c>
      <c r="C48" s="1">
        <v>45680</v>
      </c>
      <c r="D48" t="s">
        <v>44</v>
      </c>
      <c r="E48" t="s">
        <v>46</v>
      </c>
      <c r="F48">
        <v>4</v>
      </c>
      <c r="G48">
        <v>17</v>
      </c>
      <c r="H48" t="s">
        <v>100</v>
      </c>
      <c r="I48" t="s">
        <v>101</v>
      </c>
      <c r="J48" t="s">
        <v>78</v>
      </c>
      <c r="K48" t="s">
        <v>62</v>
      </c>
      <c r="L48" s="1">
        <v>44959</v>
      </c>
      <c r="M48">
        <v>80</v>
      </c>
      <c r="N48">
        <v>1035</v>
      </c>
      <c r="O48">
        <v>14</v>
      </c>
      <c r="P48">
        <v>2</v>
      </c>
      <c r="Q48">
        <v>2499</v>
      </c>
      <c r="R48">
        <v>0.15</v>
      </c>
      <c r="S48">
        <v>4248</v>
      </c>
      <c r="T48">
        <v>14</v>
      </c>
      <c r="U48" t="s">
        <v>23</v>
      </c>
      <c r="V48" t="s">
        <v>6</v>
      </c>
      <c r="W48">
        <v>2499</v>
      </c>
      <c r="X48">
        <v>1500</v>
      </c>
    </row>
    <row r="49" spans="1:24" x14ac:dyDescent="0.3">
      <c r="A49">
        <v>1009</v>
      </c>
      <c r="B49">
        <v>22</v>
      </c>
      <c r="C49" s="1">
        <v>45715</v>
      </c>
      <c r="D49" t="s">
        <v>41</v>
      </c>
      <c r="E49" t="s">
        <v>42</v>
      </c>
      <c r="F49">
        <v>4</v>
      </c>
      <c r="G49">
        <v>22</v>
      </c>
      <c r="H49" t="s">
        <v>109</v>
      </c>
      <c r="I49" t="s">
        <v>60</v>
      </c>
      <c r="J49" t="s">
        <v>61</v>
      </c>
      <c r="K49" t="s">
        <v>58</v>
      </c>
      <c r="L49" s="1">
        <v>45444</v>
      </c>
      <c r="M49">
        <v>21</v>
      </c>
      <c r="N49">
        <v>1009</v>
      </c>
      <c r="O49">
        <v>1</v>
      </c>
      <c r="P49">
        <v>1</v>
      </c>
      <c r="Q49">
        <v>799</v>
      </c>
      <c r="R49">
        <v>0</v>
      </c>
      <c r="S49">
        <v>799</v>
      </c>
      <c r="T49">
        <v>1</v>
      </c>
      <c r="U49" t="s">
        <v>5</v>
      </c>
      <c r="V49" t="s">
        <v>6</v>
      </c>
      <c r="W49">
        <v>799</v>
      </c>
      <c r="X49">
        <v>420</v>
      </c>
    </row>
    <row r="50" spans="1:24" x14ac:dyDescent="0.3">
      <c r="A50">
        <v>1009</v>
      </c>
      <c r="B50">
        <v>22</v>
      </c>
      <c r="C50" s="1">
        <v>45715</v>
      </c>
      <c r="D50" t="s">
        <v>41</v>
      </c>
      <c r="E50" t="s">
        <v>42</v>
      </c>
      <c r="F50">
        <v>4</v>
      </c>
      <c r="G50">
        <v>22</v>
      </c>
      <c r="H50" t="s">
        <v>109</v>
      </c>
      <c r="I50" t="s">
        <v>60</v>
      </c>
      <c r="J50" t="s">
        <v>61</v>
      </c>
      <c r="K50" t="s">
        <v>58</v>
      </c>
      <c r="L50" s="1">
        <v>45444</v>
      </c>
      <c r="M50">
        <v>22</v>
      </c>
      <c r="N50">
        <v>1009</v>
      </c>
      <c r="O50">
        <v>9</v>
      </c>
      <c r="P50">
        <v>2</v>
      </c>
      <c r="Q50">
        <v>199</v>
      </c>
      <c r="R50">
        <v>0.05</v>
      </c>
      <c r="S50">
        <v>378</v>
      </c>
      <c r="T50">
        <v>9</v>
      </c>
      <c r="U50" t="s">
        <v>17</v>
      </c>
      <c r="V50" t="s">
        <v>16</v>
      </c>
      <c r="W50">
        <v>199</v>
      </c>
      <c r="X50">
        <v>65</v>
      </c>
    </row>
    <row r="51" spans="1:24" x14ac:dyDescent="0.3">
      <c r="A51">
        <v>1009</v>
      </c>
      <c r="B51">
        <v>22</v>
      </c>
      <c r="C51" s="1">
        <v>45715</v>
      </c>
      <c r="D51" t="s">
        <v>41</v>
      </c>
      <c r="E51" t="s">
        <v>42</v>
      </c>
      <c r="F51">
        <v>4</v>
      </c>
      <c r="G51">
        <v>22</v>
      </c>
      <c r="H51" t="s">
        <v>109</v>
      </c>
      <c r="I51" t="s">
        <v>60</v>
      </c>
      <c r="J51" t="s">
        <v>61</v>
      </c>
      <c r="K51" t="s">
        <v>58</v>
      </c>
      <c r="L51" s="1">
        <v>45444</v>
      </c>
      <c r="M51">
        <v>23</v>
      </c>
      <c r="N51">
        <v>1009</v>
      </c>
      <c r="O51">
        <v>17</v>
      </c>
      <c r="P51">
        <v>2</v>
      </c>
      <c r="Q51">
        <v>8499</v>
      </c>
      <c r="R51">
        <v>0.15</v>
      </c>
      <c r="S51">
        <v>14448</v>
      </c>
      <c r="T51">
        <v>17</v>
      </c>
      <c r="U51" t="s">
        <v>26</v>
      </c>
      <c r="V51" t="s">
        <v>14</v>
      </c>
      <c r="W51">
        <v>8499</v>
      </c>
      <c r="X51">
        <v>6100</v>
      </c>
    </row>
    <row r="52" spans="1:24" x14ac:dyDescent="0.3">
      <c r="A52">
        <v>1009</v>
      </c>
      <c r="B52">
        <v>22</v>
      </c>
      <c r="C52" s="1">
        <v>45715</v>
      </c>
      <c r="D52" t="s">
        <v>41</v>
      </c>
      <c r="E52" t="s">
        <v>42</v>
      </c>
      <c r="F52">
        <v>4</v>
      </c>
      <c r="G52">
        <v>22</v>
      </c>
      <c r="H52" t="s">
        <v>109</v>
      </c>
      <c r="I52" t="s">
        <v>60</v>
      </c>
      <c r="J52" t="s">
        <v>61</v>
      </c>
      <c r="K52" t="s">
        <v>58</v>
      </c>
      <c r="L52" s="1">
        <v>45444</v>
      </c>
      <c r="M52">
        <v>24</v>
      </c>
      <c r="N52">
        <v>1009</v>
      </c>
      <c r="O52">
        <v>6</v>
      </c>
      <c r="P52">
        <v>1</v>
      </c>
      <c r="Q52">
        <v>1899</v>
      </c>
      <c r="R52">
        <v>0</v>
      </c>
      <c r="S52">
        <v>1899</v>
      </c>
      <c r="T52">
        <v>6</v>
      </c>
      <c r="U52" t="s">
        <v>12</v>
      </c>
      <c r="V52" t="s">
        <v>11</v>
      </c>
      <c r="W52">
        <v>1899</v>
      </c>
      <c r="X52">
        <v>950</v>
      </c>
    </row>
    <row r="53" spans="1:24" x14ac:dyDescent="0.3">
      <c r="A53">
        <v>1010</v>
      </c>
      <c r="B53">
        <v>24</v>
      </c>
      <c r="C53" s="1">
        <v>45740</v>
      </c>
      <c r="D53" t="s">
        <v>48</v>
      </c>
      <c r="E53" t="s">
        <v>45</v>
      </c>
      <c r="F53">
        <v>0</v>
      </c>
      <c r="G53">
        <v>24</v>
      </c>
      <c r="H53" t="s">
        <v>111</v>
      </c>
      <c r="I53" t="s">
        <v>68</v>
      </c>
      <c r="J53" t="s">
        <v>69</v>
      </c>
      <c r="K53" t="s">
        <v>66</v>
      </c>
      <c r="L53" s="1">
        <v>44954</v>
      </c>
      <c r="M53">
        <v>25</v>
      </c>
      <c r="N53">
        <v>1010</v>
      </c>
      <c r="O53">
        <v>20</v>
      </c>
      <c r="P53">
        <v>1</v>
      </c>
      <c r="Q53">
        <v>449</v>
      </c>
      <c r="R53">
        <v>0</v>
      </c>
      <c r="S53">
        <v>449</v>
      </c>
      <c r="T53">
        <v>20</v>
      </c>
      <c r="U53" t="s">
        <v>29</v>
      </c>
      <c r="V53" t="s">
        <v>16</v>
      </c>
      <c r="W53">
        <v>449</v>
      </c>
      <c r="X53">
        <v>180</v>
      </c>
    </row>
    <row r="54" spans="1:24" x14ac:dyDescent="0.3">
      <c r="A54">
        <v>1029</v>
      </c>
      <c r="B54">
        <v>10</v>
      </c>
      <c r="C54" s="1">
        <v>45937</v>
      </c>
      <c r="D54" t="s">
        <v>41</v>
      </c>
      <c r="E54" t="s">
        <v>43</v>
      </c>
      <c r="F54">
        <v>7</v>
      </c>
      <c r="G54">
        <v>10</v>
      </c>
      <c r="H54" t="s">
        <v>85</v>
      </c>
      <c r="I54" t="s">
        <v>86</v>
      </c>
      <c r="J54" t="s">
        <v>87</v>
      </c>
      <c r="K54" t="s">
        <v>58</v>
      </c>
      <c r="L54" s="1">
        <v>45031</v>
      </c>
      <c r="M54">
        <v>65</v>
      </c>
      <c r="N54">
        <v>1029</v>
      </c>
      <c r="O54">
        <v>14</v>
      </c>
      <c r="P54">
        <v>1</v>
      </c>
      <c r="Q54">
        <v>2499</v>
      </c>
      <c r="R54">
        <v>0.05</v>
      </c>
      <c r="S54">
        <v>2374</v>
      </c>
      <c r="T54">
        <v>14</v>
      </c>
      <c r="U54" t="s">
        <v>23</v>
      </c>
      <c r="V54" t="s">
        <v>6</v>
      </c>
      <c r="W54">
        <v>2499</v>
      </c>
      <c r="X54">
        <v>1500</v>
      </c>
    </row>
    <row r="55" spans="1:24" x14ac:dyDescent="0.3">
      <c r="A55">
        <v>1029</v>
      </c>
      <c r="B55">
        <v>10</v>
      </c>
      <c r="C55" s="1">
        <v>45937</v>
      </c>
      <c r="D55" t="s">
        <v>41</v>
      </c>
      <c r="E55" t="s">
        <v>43</v>
      </c>
      <c r="F55">
        <v>7</v>
      </c>
      <c r="G55">
        <v>10</v>
      </c>
      <c r="H55" t="s">
        <v>85</v>
      </c>
      <c r="I55" t="s">
        <v>86</v>
      </c>
      <c r="J55" t="s">
        <v>87</v>
      </c>
      <c r="K55" t="s">
        <v>58</v>
      </c>
      <c r="L55" s="1">
        <v>45031</v>
      </c>
      <c r="M55">
        <v>66</v>
      </c>
      <c r="N55">
        <v>1029</v>
      </c>
      <c r="O55">
        <v>5</v>
      </c>
      <c r="P55">
        <v>2</v>
      </c>
      <c r="Q55">
        <v>1299</v>
      </c>
      <c r="R55">
        <v>0</v>
      </c>
      <c r="S55">
        <v>2598</v>
      </c>
      <c r="T55">
        <v>5</v>
      </c>
      <c r="U55" t="s">
        <v>10</v>
      </c>
      <c r="V55" t="s">
        <v>11</v>
      </c>
      <c r="W55">
        <v>1299</v>
      </c>
      <c r="X55">
        <v>650</v>
      </c>
    </row>
    <row r="56" spans="1:24" x14ac:dyDescent="0.3">
      <c r="A56">
        <v>1031</v>
      </c>
      <c r="B56">
        <v>12</v>
      </c>
      <c r="C56" s="1">
        <v>45828</v>
      </c>
      <c r="D56" t="s">
        <v>47</v>
      </c>
      <c r="E56" t="s">
        <v>49</v>
      </c>
      <c r="F56">
        <v>0</v>
      </c>
      <c r="G56">
        <v>12</v>
      </c>
      <c r="H56" t="s">
        <v>90</v>
      </c>
      <c r="I56" t="s">
        <v>91</v>
      </c>
      <c r="J56" t="s">
        <v>61</v>
      </c>
      <c r="K56" t="s">
        <v>66</v>
      </c>
      <c r="L56" s="1">
        <v>45685</v>
      </c>
      <c r="M56">
        <v>70</v>
      </c>
      <c r="N56">
        <v>1031</v>
      </c>
      <c r="O56">
        <v>9</v>
      </c>
      <c r="P56">
        <v>2</v>
      </c>
      <c r="Q56">
        <v>199</v>
      </c>
      <c r="R56">
        <v>0</v>
      </c>
      <c r="S56">
        <v>398</v>
      </c>
      <c r="T56">
        <v>9</v>
      </c>
      <c r="U56" t="s">
        <v>17</v>
      </c>
      <c r="V56" t="s">
        <v>16</v>
      </c>
      <c r="W56">
        <v>199</v>
      </c>
      <c r="X56">
        <v>65</v>
      </c>
    </row>
    <row r="57" spans="1:24" x14ac:dyDescent="0.3">
      <c r="A57">
        <v>1031</v>
      </c>
      <c r="B57">
        <v>12</v>
      </c>
      <c r="C57" s="1">
        <v>45828</v>
      </c>
      <c r="D57" t="s">
        <v>47</v>
      </c>
      <c r="E57" t="s">
        <v>49</v>
      </c>
      <c r="F57">
        <v>0</v>
      </c>
      <c r="G57">
        <v>12</v>
      </c>
      <c r="H57" t="s">
        <v>90</v>
      </c>
      <c r="I57" t="s">
        <v>91</v>
      </c>
      <c r="J57" t="s">
        <v>61</v>
      </c>
      <c r="K57" t="s">
        <v>66</v>
      </c>
      <c r="L57" s="1">
        <v>45685</v>
      </c>
      <c r="M57">
        <v>71</v>
      </c>
      <c r="N57">
        <v>1031</v>
      </c>
      <c r="O57">
        <v>6</v>
      </c>
      <c r="P57">
        <v>1</v>
      </c>
      <c r="Q57">
        <v>1899</v>
      </c>
      <c r="R57">
        <v>0</v>
      </c>
      <c r="S57">
        <v>1899</v>
      </c>
      <c r="T57">
        <v>6</v>
      </c>
      <c r="U57" t="s">
        <v>12</v>
      </c>
      <c r="V57" t="s">
        <v>11</v>
      </c>
      <c r="W57">
        <v>1899</v>
      </c>
      <c r="X57">
        <v>950</v>
      </c>
    </row>
    <row r="58" spans="1:24" x14ac:dyDescent="0.3">
      <c r="A58">
        <v>1013</v>
      </c>
      <c r="B58">
        <v>14</v>
      </c>
      <c r="C58" s="1">
        <v>45934</v>
      </c>
      <c r="D58" t="s">
        <v>47</v>
      </c>
      <c r="E58" t="s">
        <v>42</v>
      </c>
      <c r="F58">
        <v>0</v>
      </c>
      <c r="G58">
        <v>14</v>
      </c>
      <c r="H58" t="s">
        <v>94</v>
      </c>
      <c r="I58" t="s">
        <v>95</v>
      </c>
      <c r="J58" t="s">
        <v>69</v>
      </c>
      <c r="K58" t="s">
        <v>62</v>
      </c>
      <c r="L58" s="1">
        <v>45016</v>
      </c>
      <c r="M58">
        <v>30</v>
      </c>
      <c r="N58">
        <v>1013</v>
      </c>
      <c r="O58">
        <v>13</v>
      </c>
      <c r="P58">
        <v>2</v>
      </c>
      <c r="Q58">
        <v>10999</v>
      </c>
      <c r="R58">
        <v>0.1</v>
      </c>
      <c r="S58">
        <v>19798</v>
      </c>
      <c r="T58">
        <v>13</v>
      </c>
      <c r="U58" t="s">
        <v>22</v>
      </c>
      <c r="V58" t="s">
        <v>6</v>
      </c>
      <c r="W58">
        <v>10999</v>
      </c>
      <c r="X58">
        <v>7900</v>
      </c>
    </row>
    <row r="59" spans="1:24" x14ac:dyDescent="0.3">
      <c r="A59">
        <v>1013</v>
      </c>
      <c r="B59">
        <v>14</v>
      </c>
      <c r="C59" s="1">
        <v>45934</v>
      </c>
      <c r="D59" t="s">
        <v>47</v>
      </c>
      <c r="E59" t="s">
        <v>42</v>
      </c>
      <c r="F59">
        <v>0</v>
      </c>
      <c r="G59">
        <v>14</v>
      </c>
      <c r="H59" t="s">
        <v>94</v>
      </c>
      <c r="I59" t="s">
        <v>95</v>
      </c>
      <c r="J59" t="s">
        <v>69</v>
      </c>
      <c r="K59" t="s">
        <v>62</v>
      </c>
      <c r="L59" s="1">
        <v>45016</v>
      </c>
      <c r="M59">
        <v>31</v>
      </c>
      <c r="N59">
        <v>1013</v>
      </c>
      <c r="O59">
        <v>12</v>
      </c>
      <c r="P59">
        <v>1</v>
      </c>
      <c r="Q59">
        <v>399</v>
      </c>
      <c r="R59">
        <v>0</v>
      </c>
      <c r="S59">
        <v>399</v>
      </c>
      <c r="T59">
        <v>12</v>
      </c>
      <c r="U59" t="s">
        <v>21</v>
      </c>
      <c r="V59" t="s">
        <v>14</v>
      </c>
      <c r="W59">
        <v>399</v>
      </c>
      <c r="X59">
        <v>140</v>
      </c>
    </row>
    <row r="60" spans="1:24" x14ac:dyDescent="0.3">
      <c r="A60">
        <v>1013</v>
      </c>
      <c r="B60">
        <v>14</v>
      </c>
      <c r="C60" s="1">
        <v>45934</v>
      </c>
      <c r="D60" t="s">
        <v>47</v>
      </c>
      <c r="E60" t="s">
        <v>42</v>
      </c>
      <c r="F60">
        <v>0</v>
      </c>
      <c r="G60">
        <v>14</v>
      </c>
      <c r="H60" t="s">
        <v>94</v>
      </c>
      <c r="I60" t="s">
        <v>95</v>
      </c>
      <c r="J60" t="s">
        <v>69</v>
      </c>
      <c r="K60" t="s">
        <v>62</v>
      </c>
      <c r="L60" s="1">
        <v>45016</v>
      </c>
      <c r="M60">
        <v>32</v>
      </c>
      <c r="N60">
        <v>1013</v>
      </c>
      <c r="O60">
        <v>15</v>
      </c>
      <c r="P60">
        <v>1</v>
      </c>
      <c r="Q60">
        <v>349</v>
      </c>
      <c r="R60">
        <v>0</v>
      </c>
      <c r="S60">
        <v>349</v>
      </c>
      <c r="T60">
        <v>15</v>
      </c>
      <c r="U60" t="s">
        <v>24</v>
      </c>
      <c r="V60" t="s">
        <v>11</v>
      </c>
      <c r="W60">
        <v>349</v>
      </c>
      <c r="X60">
        <v>120</v>
      </c>
    </row>
    <row r="61" spans="1:24" x14ac:dyDescent="0.3">
      <c r="A61">
        <v>1014</v>
      </c>
      <c r="B61">
        <v>38</v>
      </c>
      <c r="C61" s="1">
        <v>45941</v>
      </c>
      <c r="D61" t="s">
        <v>41</v>
      </c>
      <c r="E61" t="s">
        <v>42</v>
      </c>
      <c r="F61">
        <v>5</v>
      </c>
      <c r="G61">
        <v>38</v>
      </c>
      <c r="H61" t="s">
        <v>125</v>
      </c>
      <c r="I61" t="s">
        <v>103</v>
      </c>
      <c r="J61" t="s">
        <v>81</v>
      </c>
      <c r="K61" t="s">
        <v>62</v>
      </c>
      <c r="L61" s="1">
        <v>45704</v>
      </c>
      <c r="M61">
        <v>33</v>
      </c>
      <c r="N61">
        <v>1014</v>
      </c>
      <c r="O61">
        <v>3</v>
      </c>
      <c r="P61">
        <v>2</v>
      </c>
      <c r="Q61">
        <v>1799</v>
      </c>
      <c r="R61">
        <v>0</v>
      </c>
      <c r="S61">
        <v>3598</v>
      </c>
      <c r="T61">
        <v>3</v>
      </c>
      <c r="U61" t="s">
        <v>8</v>
      </c>
      <c r="V61" t="s">
        <v>6</v>
      </c>
      <c r="W61">
        <v>1799</v>
      </c>
      <c r="X61">
        <v>980</v>
      </c>
    </row>
    <row r="62" spans="1:24" x14ac:dyDescent="0.3">
      <c r="A62">
        <v>1023</v>
      </c>
      <c r="B62">
        <v>38</v>
      </c>
      <c r="C62" s="1">
        <v>45947</v>
      </c>
      <c r="D62" t="s">
        <v>48</v>
      </c>
      <c r="E62" t="s">
        <v>43</v>
      </c>
      <c r="F62">
        <v>0</v>
      </c>
      <c r="G62">
        <v>38</v>
      </c>
      <c r="H62" t="s">
        <v>125</v>
      </c>
      <c r="I62" t="s">
        <v>103</v>
      </c>
      <c r="J62" t="s">
        <v>81</v>
      </c>
      <c r="K62" t="s">
        <v>62</v>
      </c>
      <c r="L62" s="1">
        <v>45704</v>
      </c>
      <c r="M62">
        <v>51</v>
      </c>
      <c r="N62">
        <v>1023</v>
      </c>
      <c r="O62">
        <v>7</v>
      </c>
      <c r="P62">
        <v>1</v>
      </c>
      <c r="Q62">
        <v>999</v>
      </c>
      <c r="R62">
        <v>0</v>
      </c>
      <c r="S62">
        <v>999</v>
      </c>
      <c r="T62">
        <v>7</v>
      </c>
      <c r="U62" t="s">
        <v>13</v>
      </c>
      <c r="V62" t="s">
        <v>14</v>
      </c>
      <c r="W62">
        <v>999</v>
      </c>
      <c r="X62">
        <v>480</v>
      </c>
    </row>
    <row r="63" spans="1:24" x14ac:dyDescent="0.3">
      <c r="A63">
        <v>1023</v>
      </c>
      <c r="B63">
        <v>38</v>
      </c>
      <c r="C63" s="1">
        <v>45947</v>
      </c>
      <c r="D63" t="s">
        <v>48</v>
      </c>
      <c r="E63" t="s">
        <v>43</v>
      </c>
      <c r="F63">
        <v>0</v>
      </c>
      <c r="G63">
        <v>38</v>
      </c>
      <c r="H63" t="s">
        <v>125</v>
      </c>
      <c r="I63" t="s">
        <v>103</v>
      </c>
      <c r="J63" t="s">
        <v>81</v>
      </c>
      <c r="K63" t="s">
        <v>62</v>
      </c>
      <c r="L63" s="1">
        <v>45704</v>
      </c>
      <c r="M63">
        <v>52</v>
      </c>
      <c r="N63">
        <v>1023</v>
      </c>
      <c r="O63">
        <v>11</v>
      </c>
      <c r="P63">
        <v>2</v>
      </c>
      <c r="Q63">
        <v>1099</v>
      </c>
      <c r="R63">
        <v>0.05</v>
      </c>
      <c r="S63">
        <v>2088</v>
      </c>
      <c r="T63">
        <v>11</v>
      </c>
      <c r="U63" t="s">
        <v>20</v>
      </c>
      <c r="V63" t="s">
        <v>19</v>
      </c>
      <c r="W63">
        <v>1099</v>
      </c>
      <c r="X63">
        <v>570</v>
      </c>
    </row>
    <row r="64" spans="1:24" x14ac:dyDescent="0.3">
      <c r="A64">
        <v>1023</v>
      </c>
      <c r="B64">
        <v>38</v>
      </c>
      <c r="C64" s="1">
        <v>45947</v>
      </c>
      <c r="D64" t="s">
        <v>48</v>
      </c>
      <c r="E64" t="s">
        <v>43</v>
      </c>
      <c r="F64">
        <v>0</v>
      </c>
      <c r="G64">
        <v>38</v>
      </c>
      <c r="H64" t="s">
        <v>125</v>
      </c>
      <c r="I64" t="s">
        <v>103</v>
      </c>
      <c r="J64" t="s">
        <v>81</v>
      </c>
      <c r="K64" t="s">
        <v>62</v>
      </c>
      <c r="L64" s="1">
        <v>45704</v>
      </c>
      <c r="M64">
        <v>53</v>
      </c>
      <c r="N64">
        <v>1023</v>
      </c>
      <c r="O64">
        <v>8</v>
      </c>
      <c r="P64">
        <v>1</v>
      </c>
      <c r="Q64">
        <v>299</v>
      </c>
      <c r="R64">
        <v>0</v>
      </c>
      <c r="S64">
        <v>299</v>
      </c>
      <c r="T64">
        <v>8</v>
      </c>
      <c r="U64" t="s">
        <v>15</v>
      </c>
      <c r="V64" t="s">
        <v>16</v>
      </c>
      <c r="W64">
        <v>299</v>
      </c>
      <c r="X64">
        <v>110</v>
      </c>
    </row>
    <row r="65" spans="1:24" x14ac:dyDescent="0.3">
      <c r="A65">
        <v>1015</v>
      </c>
      <c r="B65">
        <v>15</v>
      </c>
      <c r="C65" s="1">
        <v>45692</v>
      </c>
      <c r="D65" t="s">
        <v>41</v>
      </c>
      <c r="E65" t="s">
        <v>43</v>
      </c>
      <c r="F65">
        <v>7</v>
      </c>
      <c r="G65">
        <v>15</v>
      </c>
      <c r="H65" t="s">
        <v>96</v>
      </c>
      <c r="I65" t="s">
        <v>97</v>
      </c>
      <c r="J65" t="s">
        <v>72</v>
      </c>
      <c r="K65" t="s">
        <v>66</v>
      </c>
      <c r="L65" s="1">
        <v>45531</v>
      </c>
      <c r="M65">
        <v>34</v>
      </c>
      <c r="N65">
        <v>1015</v>
      </c>
      <c r="O65">
        <v>17</v>
      </c>
      <c r="P65">
        <v>1</v>
      </c>
      <c r="Q65">
        <v>8499</v>
      </c>
      <c r="R65">
        <v>0.2</v>
      </c>
      <c r="S65">
        <v>6799</v>
      </c>
      <c r="T65">
        <v>17</v>
      </c>
      <c r="U65" t="s">
        <v>26</v>
      </c>
      <c r="V65" t="s">
        <v>14</v>
      </c>
      <c r="W65">
        <v>8499</v>
      </c>
      <c r="X65">
        <v>6100</v>
      </c>
    </row>
    <row r="66" spans="1:24" x14ac:dyDescent="0.3">
      <c r="A66">
        <v>1016</v>
      </c>
      <c r="B66">
        <v>32</v>
      </c>
      <c r="C66" s="1">
        <v>45767</v>
      </c>
      <c r="D66" t="s">
        <v>48</v>
      </c>
      <c r="E66" t="s">
        <v>42</v>
      </c>
      <c r="F66">
        <v>0</v>
      </c>
      <c r="G66">
        <v>32</v>
      </c>
      <c r="H66" t="s">
        <v>119</v>
      </c>
      <c r="I66" t="s">
        <v>91</v>
      </c>
      <c r="J66" t="s">
        <v>61</v>
      </c>
      <c r="K66" t="s">
        <v>62</v>
      </c>
      <c r="L66" s="1">
        <v>45152</v>
      </c>
      <c r="M66">
        <v>35</v>
      </c>
      <c r="N66">
        <v>1016</v>
      </c>
      <c r="O66">
        <v>8</v>
      </c>
      <c r="P66">
        <v>1</v>
      </c>
      <c r="Q66">
        <v>299</v>
      </c>
      <c r="R66">
        <v>0.2</v>
      </c>
      <c r="S66">
        <v>239</v>
      </c>
      <c r="T66">
        <v>8</v>
      </c>
      <c r="U66" t="s">
        <v>15</v>
      </c>
      <c r="V66" t="s">
        <v>16</v>
      </c>
      <c r="W66">
        <v>299</v>
      </c>
      <c r="X66">
        <v>110</v>
      </c>
    </row>
    <row r="67" spans="1:24" x14ac:dyDescent="0.3">
      <c r="A67">
        <v>1016</v>
      </c>
      <c r="B67">
        <v>32</v>
      </c>
      <c r="C67" s="1">
        <v>45767</v>
      </c>
      <c r="D67" t="s">
        <v>48</v>
      </c>
      <c r="E67" t="s">
        <v>42</v>
      </c>
      <c r="F67">
        <v>0</v>
      </c>
      <c r="G67">
        <v>32</v>
      </c>
      <c r="H67" t="s">
        <v>119</v>
      </c>
      <c r="I67" t="s">
        <v>91</v>
      </c>
      <c r="J67" t="s">
        <v>61</v>
      </c>
      <c r="K67" t="s">
        <v>62</v>
      </c>
      <c r="L67" s="1">
        <v>45152</v>
      </c>
      <c r="M67">
        <v>36</v>
      </c>
      <c r="N67">
        <v>1016</v>
      </c>
      <c r="O67">
        <v>16</v>
      </c>
      <c r="P67">
        <v>1</v>
      </c>
      <c r="Q67">
        <v>1599</v>
      </c>
      <c r="R67">
        <v>0.1</v>
      </c>
      <c r="S67">
        <v>1439</v>
      </c>
      <c r="T67">
        <v>16</v>
      </c>
      <c r="U67" t="s">
        <v>25</v>
      </c>
      <c r="V67" t="s">
        <v>6</v>
      </c>
      <c r="W67">
        <v>1599</v>
      </c>
      <c r="X67">
        <v>900</v>
      </c>
    </row>
    <row r="68" spans="1:24" x14ac:dyDescent="0.3">
      <c r="A68">
        <v>1016</v>
      </c>
      <c r="B68">
        <v>32</v>
      </c>
      <c r="C68" s="1">
        <v>45767</v>
      </c>
      <c r="D68" t="s">
        <v>48</v>
      </c>
      <c r="E68" t="s">
        <v>42</v>
      </c>
      <c r="F68">
        <v>0</v>
      </c>
      <c r="G68">
        <v>32</v>
      </c>
      <c r="H68" t="s">
        <v>119</v>
      </c>
      <c r="I68" t="s">
        <v>91</v>
      </c>
      <c r="J68" t="s">
        <v>61</v>
      </c>
      <c r="K68" t="s">
        <v>62</v>
      </c>
      <c r="L68" s="1">
        <v>45152</v>
      </c>
      <c r="M68">
        <v>37</v>
      </c>
      <c r="N68">
        <v>1016</v>
      </c>
      <c r="O68">
        <v>14</v>
      </c>
      <c r="P68">
        <v>1</v>
      </c>
      <c r="Q68">
        <v>2499</v>
      </c>
      <c r="R68">
        <v>0.2</v>
      </c>
      <c r="S68">
        <v>1999</v>
      </c>
      <c r="T68">
        <v>14</v>
      </c>
      <c r="U68" t="s">
        <v>23</v>
      </c>
      <c r="V68" t="s">
        <v>6</v>
      </c>
      <c r="W68">
        <v>2499</v>
      </c>
      <c r="X68">
        <v>1500</v>
      </c>
    </row>
    <row r="69" spans="1:24" x14ac:dyDescent="0.3">
      <c r="A69">
        <v>1016</v>
      </c>
      <c r="B69">
        <v>32</v>
      </c>
      <c r="C69" s="1">
        <v>45767</v>
      </c>
      <c r="D69" t="s">
        <v>48</v>
      </c>
      <c r="E69" t="s">
        <v>42</v>
      </c>
      <c r="F69">
        <v>0</v>
      </c>
      <c r="G69">
        <v>32</v>
      </c>
      <c r="H69" t="s">
        <v>119</v>
      </c>
      <c r="I69" t="s">
        <v>91</v>
      </c>
      <c r="J69" t="s">
        <v>61</v>
      </c>
      <c r="K69" t="s">
        <v>62</v>
      </c>
      <c r="L69" s="1">
        <v>45152</v>
      </c>
      <c r="M69">
        <v>38</v>
      </c>
      <c r="N69">
        <v>1016</v>
      </c>
      <c r="O69">
        <v>7</v>
      </c>
      <c r="P69">
        <v>1</v>
      </c>
      <c r="Q69">
        <v>999</v>
      </c>
      <c r="R69">
        <v>0.2</v>
      </c>
      <c r="S69">
        <v>799</v>
      </c>
      <c r="T69">
        <v>7</v>
      </c>
      <c r="U69" t="s">
        <v>13</v>
      </c>
      <c r="V69" t="s">
        <v>14</v>
      </c>
      <c r="W69">
        <v>999</v>
      </c>
      <c r="X69">
        <v>480</v>
      </c>
    </row>
    <row r="70" spans="1:24" x14ac:dyDescent="0.3">
      <c r="A70">
        <v>1022</v>
      </c>
      <c r="B70">
        <v>16</v>
      </c>
      <c r="C70" s="1">
        <v>45864</v>
      </c>
      <c r="D70" t="s">
        <v>41</v>
      </c>
      <c r="E70" t="s">
        <v>42</v>
      </c>
      <c r="F70">
        <v>5</v>
      </c>
      <c r="G70">
        <v>16</v>
      </c>
      <c r="H70" t="s">
        <v>98</v>
      </c>
      <c r="I70" t="s">
        <v>99</v>
      </c>
      <c r="J70" t="s">
        <v>75</v>
      </c>
      <c r="K70" t="s">
        <v>58</v>
      </c>
      <c r="L70" s="1">
        <v>45359</v>
      </c>
      <c r="M70">
        <v>50</v>
      </c>
      <c r="N70">
        <v>1022</v>
      </c>
      <c r="O70">
        <v>20</v>
      </c>
      <c r="P70">
        <v>1</v>
      </c>
      <c r="Q70">
        <v>449</v>
      </c>
      <c r="R70">
        <v>0.2</v>
      </c>
      <c r="S70">
        <v>359</v>
      </c>
      <c r="T70">
        <v>20</v>
      </c>
      <c r="U70" t="s">
        <v>29</v>
      </c>
      <c r="V70" t="s">
        <v>16</v>
      </c>
      <c r="W70">
        <v>449</v>
      </c>
      <c r="X70">
        <v>180</v>
      </c>
    </row>
    <row r="71" spans="1:24" x14ac:dyDescent="0.3">
      <c r="A71">
        <v>1018</v>
      </c>
      <c r="B71">
        <v>29</v>
      </c>
      <c r="C71" s="1">
        <v>45729</v>
      </c>
      <c r="D71" t="s">
        <v>41</v>
      </c>
      <c r="E71" t="s">
        <v>43</v>
      </c>
      <c r="F71">
        <v>2</v>
      </c>
      <c r="G71">
        <v>29</v>
      </c>
      <c r="H71" t="s">
        <v>116</v>
      </c>
      <c r="I71" t="s">
        <v>83</v>
      </c>
      <c r="J71" t="s">
        <v>84</v>
      </c>
      <c r="K71" t="s">
        <v>62</v>
      </c>
      <c r="L71" s="1">
        <v>45645</v>
      </c>
      <c r="M71">
        <v>40</v>
      </c>
      <c r="N71">
        <v>1018</v>
      </c>
      <c r="O71">
        <v>8</v>
      </c>
      <c r="P71">
        <v>1</v>
      </c>
      <c r="Q71">
        <v>299</v>
      </c>
      <c r="R71">
        <v>0.15</v>
      </c>
      <c r="S71">
        <v>254</v>
      </c>
      <c r="T71">
        <v>8</v>
      </c>
      <c r="U71" t="s">
        <v>15</v>
      </c>
      <c r="V71" t="s">
        <v>16</v>
      </c>
      <c r="W71">
        <v>299</v>
      </c>
      <c r="X71">
        <v>110</v>
      </c>
    </row>
    <row r="72" spans="1:24" x14ac:dyDescent="0.3">
      <c r="A72">
        <v>1018</v>
      </c>
      <c r="B72">
        <v>29</v>
      </c>
      <c r="C72" s="1">
        <v>45729</v>
      </c>
      <c r="D72" t="s">
        <v>41</v>
      </c>
      <c r="E72" t="s">
        <v>43</v>
      </c>
      <c r="F72">
        <v>2</v>
      </c>
      <c r="G72">
        <v>29</v>
      </c>
      <c r="H72" t="s">
        <v>116</v>
      </c>
      <c r="I72" t="s">
        <v>83</v>
      </c>
      <c r="J72" t="s">
        <v>84</v>
      </c>
      <c r="K72" t="s">
        <v>62</v>
      </c>
      <c r="L72" s="1">
        <v>45645</v>
      </c>
      <c r="M72">
        <v>41</v>
      </c>
      <c r="N72">
        <v>1018</v>
      </c>
      <c r="O72">
        <v>3</v>
      </c>
      <c r="P72">
        <v>2</v>
      </c>
      <c r="Q72">
        <v>1799</v>
      </c>
      <c r="R72">
        <v>0</v>
      </c>
      <c r="S72">
        <v>3598</v>
      </c>
      <c r="T72">
        <v>3</v>
      </c>
      <c r="U72" t="s">
        <v>8</v>
      </c>
      <c r="V72" t="s">
        <v>6</v>
      </c>
      <c r="W72">
        <v>1799</v>
      </c>
      <c r="X72">
        <v>980</v>
      </c>
    </row>
    <row r="73" spans="1:24" x14ac:dyDescent="0.3">
      <c r="A73">
        <v>1018</v>
      </c>
      <c r="B73">
        <v>29</v>
      </c>
      <c r="C73" s="1">
        <v>45729</v>
      </c>
      <c r="D73" t="s">
        <v>41</v>
      </c>
      <c r="E73" t="s">
        <v>43</v>
      </c>
      <c r="F73">
        <v>2</v>
      </c>
      <c r="G73">
        <v>29</v>
      </c>
      <c r="H73" t="s">
        <v>116</v>
      </c>
      <c r="I73" t="s">
        <v>83</v>
      </c>
      <c r="J73" t="s">
        <v>84</v>
      </c>
      <c r="K73" t="s">
        <v>62</v>
      </c>
      <c r="L73" s="1">
        <v>45645</v>
      </c>
      <c r="M73">
        <v>42</v>
      </c>
      <c r="N73">
        <v>1018</v>
      </c>
      <c r="O73">
        <v>15</v>
      </c>
      <c r="P73">
        <v>2</v>
      </c>
      <c r="Q73">
        <v>349</v>
      </c>
      <c r="R73">
        <v>0</v>
      </c>
      <c r="S73">
        <v>698</v>
      </c>
      <c r="T73">
        <v>15</v>
      </c>
      <c r="U73" t="s">
        <v>24</v>
      </c>
      <c r="V73" t="s">
        <v>11</v>
      </c>
      <c r="W73">
        <v>349</v>
      </c>
      <c r="X73">
        <v>120</v>
      </c>
    </row>
    <row r="74" spans="1:24" x14ac:dyDescent="0.3">
      <c r="A74">
        <v>1018</v>
      </c>
      <c r="B74">
        <v>29</v>
      </c>
      <c r="C74" s="1">
        <v>45729</v>
      </c>
      <c r="D74" t="s">
        <v>41</v>
      </c>
      <c r="E74" t="s">
        <v>43</v>
      </c>
      <c r="F74">
        <v>2</v>
      </c>
      <c r="G74">
        <v>29</v>
      </c>
      <c r="H74" t="s">
        <v>116</v>
      </c>
      <c r="I74" t="s">
        <v>83</v>
      </c>
      <c r="J74" t="s">
        <v>84</v>
      </c>
      <c r="K74" t="s">
        <v>62</v>
      </c>
      <c r="L74" s="1">
        <v>45645</v>
      </c>
      <c r="M74">
        <v>43</v>
      </c>
      <c r="N74">
        <v>1018</v>
      </c>
      <c r="O74">
        <v>4</v>
      </c>
      <c r="P74">
        <v>1</v>
      </c>
      <c r="Q74">
        <v>2199</v>
      </c>
      <c r="R74">
        <v>0.1</v>
      </c>
      <c r="S74">
        <v>1979</v>
      </c>
      <c r="T74">
        <v>4</v>
      </c>
      <c r="U74" t="s">
        <v>9</v>
      </c>
      <c r="V74" t="s">
        <v>6</v>
      </c>
      <c r="W74">
        <v>2199</v>
      </c>
      <c r="X74">
        <v>1250</v>
      </c>
    </row>
    <row r="75" spans="1:24" x14ac:dyDescent="0.3">
      <c r="A75">
        <v>1019</v>
      </c>
      <c r="B75">
        <v>31</v>
      </c>
      <c r="C75" s="1">
        <v>45767</v>
      </c>
      <c r="D75" t="s">
        <v>47</v>
      </c>
      <c r="E75" t="s">
        <v>49</v>
      </c>
      <c r="F75">
        <v>0</v>
      </c>
      <c r="G75">
        <v>31</v>
      </c>
      <c r="H75" t="s">
        <v>118</v>
      </c>
      <c r="I75" t="s">
        <v>89</v>
      </c>
      <c r="J75" t="s">
        <v>57</v>
      </c>
      <c r="K75" t="s">
        <v>58</v>
      </c>
      <c r="L75" s="1">
        <v>45356</v>
      </c>
      <c r="M75">
        <v>44</v>
      </c>
      <c r="N75">
        <v>1019</v>
      </c>
      <c r="O75">
        <v>6</v>
      </c>
      <c r="P75">
        <v>1</v>
      </c>
      <c r="Q75">
        <v>1899</v>
      </c>
      <c r="R75">
        <v>0.1</v>
      </c>
      <c r="S75">
        <v>1709</v>
      </c>
      <c r="T75">
        <v>6</v>
      </c>
      <c r="U75" t="s">
        <v>12</v>
      </c>
      <c r="V75" t="s">
        <v>11</v>
      </c>
      <c r="W75">
        <v>1899</v>
      </c>
      <c r="X75">
        <v>950</v>
      </c>
    </row>
    <row r="76" spans="1:24" x14ac:dyDescent="0.3">
      <c r="A76">
        <v>1032</v>
      </c>
      <c r="B76">
        <v>31</v>
      </c>
      <c r="C76" s="1">
        <v>45771</v>
      </c>
      <c r="D76" t="s">
        <v>41</v>
      </c>
      <c r="E76" t="s">
        <v>49</v>
      </c>
      <c r="F76">
        <v>7</v>
      </c>
      <c r="G76">
        <v>31</v>
      </c>
      <c r="H76" t="s">
        <v>118</v>
      </c>
      <c r="I76" t="s">
        <v>89</v>
      </c>
      <c r="J76" t="s">
        <v>57</v>
      </c>
      <c r="K76" t="s">
        <v>58</v>
      </c>
      <c r="L76" s="1">
        <v>45356</v>
      </c>
      <c r="M76">
        <v>72</v>
      </c>
      <c r="N76">
        <v>1032</v>
      </c>
      <c r="O76">
        <v>10</v>
      </c>
      <c r="P76">
        <v>1</v>
      </c>
      <c r="Q76">
        <v>599</v>
      </c>
      <c r="R76">
        <v>0</v>
      </c>
      <c r="S76">
        <v>599</v>
      </c>
      <c r="T76">
        <v>10</v>
      </c>
      <c r="U76" t="s">
        <v>18</v>
      </c>
      <c r="V76" t="s">
        <v>19</v>
      </c>
      <c r="W76">
        <v>599</v>
      </c>
      <c r="X76">
        <v>260</v>
      </c>
    </row>
    <row r="77" spans="1:24" x14ac:dyDescent="0.3">
      <c r="A77">
        <v>1032</v>
      </c>
      <c r="B77">
        <v>31</v>
      </c>
      <c r="C77" s="1">
        <v>45771</v>
      </c>
      <c r="D77" t="s">
        <v>41</v>
      </c>
      <c r="E77" t="s">
        <v>49</v>
      </c>
      <c r="F77">
        <v>7</v>
      </c>
      <c r="G77">
        <v>31</v>
      </c>
      <c r="H77" t="s">
        <v>118</v>
      </c>
      <c r="I77" t="s">
        <v>89</v>
      </c>
      <c r="J77" t="s">
        <v>57</v>
      </c>
      <c r="K77" t="s">
        <v>58</v>
      </c>
      <c r="L77" s="1">
        <v>45356</v>
      </c>
      <c r="M77">
        <v>73</v>
      </c>
      <c r="N77">
        <v>1032</v>
      </c>
      <c r="O77">
        <v>8</v>
      </c>
      <c r="P77">
        <v>1</v>
      </c>
      <c r="Q77">
        <v>299</v>
      </c>
      <c r="R77">
        <v>0.05</v>
      </c>
      <c r="S77">
        <v>284</v>
      </c>
      <c r="T77">
        <v>8</v>
      </c>
      <c r="U77" t="s">
        <v>15</v>
      </c>
      <c r="V77" t="s">
        <v>16</v>
      </c>
      <c r="W77">
        <v>299</v>
      </c>
      <c r="X77">
        <v>110</v>
      </c>
    </row>
    <row r="78" spans="1:24" x14ac:dyDescent="0.3">
      <c r="A78">
        <v>1032</v>
      </c>
      <c r="B78">
        <v>31</v>
      </c>
      <c r="C78" s="1">
        <v>45771</v>
      </c>
      <c r="D78" t="s">
        <v>41</v>
      </c>
      <c r="E78" t="s">
        <v>49</v>
      </c>
      <c r="F78">
        <v>7</v>
      </c>
      <c r="G78">
        <v>31</v>
      </c>
      <c r="H78" t="s">
        <v>118</v>
      </c>
      <c r="I78" t="s">
        <v>89</v>
      </c>
      <c r="J78" t="s">
        <v>57</v>
      </c>
      <c r="K78" t="s">
        <v>58</v>
      </c>
      <c r="L78" s="1">
        <v>45356</v>
      </c>
      <c r="M78">
        <v>74</v>
      </c>
      <c r="N78">
        <v>1032</v>
      </c>
      <c r="O78">
        <v>19</v>
      </c>
      <c r="P78">
        <v>2</v>
      </c>
      <c r="Q78">
        <v>499</v>
      </c>
      <c r="R78">
        <v>0.05</v>
      </c>
      <c r="S78">
        <v>948</v>
      </c>
      <c r="T78">
        <v>19</v>
      </c>
      <c r="U78" t="s">
        <v>28</v>
      </c>
      <c r="V78" t="s">
        <v>11</v>
      </c>
      <c r="W78">
        <v>499</v>
      </c>
      <c r="X78">
        <v>220</v>
      </c>
    </row>
    <row r="79" spans="1:24" x14ac:dyDescent="0.3">
      <c r="A79">
        <v>1021</v>
      </c>
      <c r="B79">
        <v>33</v>
      </c>
      <c r="C79" s="1">
        <v>45929</v>
      </c>
      <c r="D79" t="s">
        <v>41</v>
      </c>
      <c r="E79" t="s">
        <v>45</v>
      </c>
      <c r="F79">
        <v>1</v>
      </c>
      <c r="G79">
        <v>33</v>
      </c>
      <c r="H79" t="s">
        <v>120</v>
      </c>
      <c r="I79" t="s">
        <v>93</v>
      </c>
      <c r="J79" t="s">
        <v>65</v>
      </c>
      <c r="K79" t="s">
        <v>66</v>
      </c>
      <c r="L79" s="1">
        <v>45386</v>
      </c>
      <c r="M79">
        <v>49</v>
      </c>
      <c r="N79">
        <v>1021</v>
      </c>
      <c r="O79">
        <v>6</v>
      </c>
      <c r="P79">
        <v>1</v>
      </c>
      <c r="Q79">
        <v>1899</v>
      </c>
      <c r="R79">
        <v>0</v>
      </c>
      <c r="S79">
        <v>1899</v>
      </c>
      <c r="T79">
        <v>6</v>
      </c>
      <c r="U79" t="s">
        <v>12</v>
      </c>
      <c r="V79" t="s">
        <v>11</v>
      </c>
      <c r="W79">
        <v>1899</v>
      </c>
      <c r="X79">
        <v>950</v>
      </c>
    </row>
    <row r="80" spans="1:24" x14ac:dyDescent="0.3">
      <c r="A80">
        <v>1030</v>
      </c>
      <c r="B80">
        <v>23</v>
      </c>
      <c r="C80" s="1">
        <v>45765</v>
      </c>
      <c r="D80" t="s">
        <v>44</v>
      </c>
      <c r="E80" t="s">
        <v>46</v>
      </c>
      <c r="F80">
        <v>2</v>
      </c>
      <c r="G80">
        <v>23</v>
      </c>
      <c r="H80" t="s">
        <v>110</v>
      </c>
      <c r="I80" t="s">
        <v>64</v>
      </c>
      <c r="J80" t="s">
        <v>65</v>
      </c>
      <c r="K80" t="s">
        <v>62</v>
      </c>
      <c r="L80" s="1">
        <v>45543</v>
      </c>
      <c r="M80">
        <v>67</v>
      </c>
      <c r="N80">
        <v>1030</v>
      </c>
      <c r="O80">
        <v>18</v>
      </c>
      <c r="P80">
        <v>2</v>
      </c>
      <c r="Q80">
        <v>3299</v>
      </c>
      <c r="R80">
        <v>0</v>
      </c>
      <c r="S80">
        <v>6598</v>
      </c>
      <c r="T80">
        <v>18</v>
      </c>
      <c r="U80" t="s">
        <v>27</v>
      </c>
      <c r="V80" t="s">
        <v>19</v>
      </c>
      <c r="W80">
        <v>3299</v>
      </c>
      <c r="X80">
        <v>2050</v>
      </c>
    </row>
    <row r="81" spans="1:24" x14ac:dyDescent="0.3">
      <c r="A81">
        <v>1030</v>
      </c>
      <c r="B81">
        <v>23</v>
      </c>
      <c r="C81" s="1">
        <v>45765</v>
      </c>
      <c r="D81" t="s">
        <v>44</v>
      </c>
      <c r="E81" t="s">
        <v>46</v>
      </c>
      <c r="F81">
        <v>2</v>
      </c>
      <c r="G81">
        <v>23</v>
      </c>
      <c r="H81" t="s">
        <v>110</v>
      </c>
      <c r="I81" t="s">
        <v>64</v>
      </c>
      <c r="J81" t="s">
        <v>65</v>
      </c>
      <c r="K81" t="s">
        <v>62</v>
      </c>
      <c r="L81" s="1">
        <v>45543</v>
      </c>
      <c r="M81">
        <v>68</v>
      </c>
      <c r="N81">
        <v>1030</v>
      </c>
      <c r="O81">
        <v>14</v>
      </c>
      <c r="P81">
        <v>2</v>
      </c>
      <c r="Q81">
        <v>2499</v>
      </c>
      <c r="R81">
        <v>0</v>
      </c>
      <c r="S81">
        <v>4998</v>
      </c>
      <c r="T81">
        <v>14</v>
      </c>
      <c r="U81" t="s">
        <v>23</v>
      </c>
      <c r="V81" t="s">
        <v>6</v>
      </c>
      <c r="W81">
        <v>2499</v>
      </c>
      <c r="X81">
        <v>1500</v>
      </c>
    </row>
    <row r="82" spans="1:24" x14ac:dyDescent="0.3">
      <c r="A82">
        <v>1030</v>
      </c>
      <c r="B82">
        <v>23</v>
      </c>
      <c r="C82" s="1">
        <v>45765</v>
      </c>
      <c r="D82" t="s">
        <v>44</v>
      </c>
      <c r="E82" t="s">
        <v>46</v>
      </c>
      <c r="F82">
        <v>2</v>
      </c>
      <c r="G82">
        <v>23</v>
      </c>
      <c r="H82" t="s">
        <v>110</v>
      </c>
      <c r="I82" t="s">
        <v>64</v>
      </c>
      <c r="J82" t="s">
        <v>65</v>
      </c>
      <c r="K82" t="s">
        <v>62</v>
      </c>
      <c r="L82" s="1">
        <v>45543</v>
      </c>
      <c r="M82">
        <v>69</v>
      </c>
      <c r="N82">
        <v>1030</v>
      </c>
      <c r="O82">
        <v>5</v>
      </c>
      <c r="P82">
        <v>2</v>
      </c>
      <c r="Q82">
        <v>1299</v>
      </c>
      <c r="R82">
        <v>0</v>
      </c>
      <c r="S82">
        <v>2598</v>
      </c>
      <c r="T82">
        <v>5</v>
      </c>
      <c r="U82" t="s">
        <v>10</v>
      </c>
      <c r="V82" t="s">
        <v>11</v>
      </c>
      <c r="W82">
        <v>1299</v>
      </c>
      <c r="X82">
        <v>650</v>
      </c>
    </row>
    <row r="83" spans="1:24" x14ac:dyDescent="0.3">
      <c r="A83">
        <v>1033</v>
      </c>
      <c r="B83">
        <v>23</v>
      </c>
      <c r="C83" s="1">
        <v>45986</v>
      </c>
      <c r="D83" t="s">
        <v>48</v>
      </c>
      <c r="E83" t="s">
        <v>49</v>
      </c>
      <c r="F83">
        <v>0</v>
      </c>
      <c r="G83">
        <v>23</v>
      </c>
      <c r="H83" t="s">
        <v>110</v>
      </c>
      <c r="I83" t="s">
        <v>64</v>
      </c>
      <c r="J83" t="s">
        <v>65</v>
      </c>
      <c r="K83" t="s">
        <v>62</v>
      </c>
      <c r="L83" s="1">
        <v>45543</v>
      </c>
      <c r="M83">
        <v>75</v>
      </c>
      <c r="N83">
        <v>1033</v>
      </c>
      <c r="O83">
        <v>1</v>
      </c>
      <c r="P83">
        <v>1</v>
      </c>
      <c r="Q83">
        <v>799</v>
      </c>
      <c r="R83">
        <v>0.05</v>
      </c>
      <c r="S83">
        <v>759</v>
      </c>
      <c r="T83">
        <v>1</v>
      </c>
      <c r="U83" t="s">
        <v>5</v>
      </c>
      <c r="V83" t="s">
        <v>6</v>
      </c>
      <c r="W83">
        <v>799</v>
      </c>
      <c r="X83">
        <v>420</v>
      </c>
    </row>
    <row r="84" spans="1:24" x14ac:dyDescent="0.3">
      <c r="A84">
        <v>1033</v>
      </c>
      <c r="B84">
        <v>23</v>
      </c>
      <c r="C84" s="1">
        <v>45986</v>
      </c>
      <c r="D84" t="s">
        <v>48</v>
      </c>
      <c r="E84" t="s">
        <v>49</v>
      </c>
      <c r="F84">
        <v>0</v>
      </c>
      <c r="G84">
        <v>23</v>
      </c>
      <c r="H84" t="s">
        <v>110</v>
      </c>
      <c r="I84" t="s">
        <v>64</v>
      </c>
      <c r="J84" t="s">
        <v>65</v>
      </c>
      <c r="K84" t="s">
        <v>62</v>
      </c>
      <c r="L84" s="1">
        <v>45543</v>
      </c>
      <c r="M84">
        <v>76</v>
      </c>
      <c r="N84">
        <v>1033</v>
      </c>
      <c r="O84">
        <v>4</v>
      </c>
      <c r="P84">
        <v>1</v>
      </c>
      <c r="Q84">
        <v>2199</v>
      </c>
      <c r="R84">
        <v>0.15</v>
      </c>
      <c r="S84">
        <v>1869</v>
      </c>
      <c r="T84">
        <v>4</v>
      </c>
      <c r="U84" t="s">
        <v>9</v>
      </c>
      <c r="V84" t="s">
        <v>6</v>
      </c>
      <c r="W84">
        <v>2199</v>
      </c>
      <c r="X84">
        <v>1250</v>
      </c>
    </row>
    <row r="85" spans="1:24" x14ac:dyDescent="0.3">
      <c r="A85">
        <v>1033</v>
      </c>
      <c r="B85">
        <v>23</v>
      </c>
      <c r="C85" s="1">
        <v>45986</v>
      </c>
      <c r="D85" t="s">
        <v>48</v>
      </c>
      <c r="E85" t="s">
        <v>49</v>
      </c>
      <c r="F85">
        <v>0</v>
      </c>
      <c r="G85">
        <v>23</v>
      </c>
      <c r="H85" t="s">
        <v>110</v>
      </c>
      <c r="I85" t="s">
        <v>64</v>
      </c>
      <c r="J85" t="s">
        <v>65</v>
      </c>
      <c r="K85" t="s">
        <v>62</v>
      </c>
      <c r="L85" s="1">
        <v>45543</v>
      </c>
      <c r="M85">
        <v>77</v>
      </c>
      <c r="N85">
        <v>1033</v>
      </c>
      <c r="O85">
        <v>9</v>
      </c>
      <c r="P85">
        <v>1</v>
      </c>
      <c r="Q85">
        <v>199</v>
      </c>
      <c r="R85">
        <v>0.2</v>
      </c>
      <c r="S85">
        <v>159</v>
      </c>
      <c r="T85">
        <v>9</v>
      </c>
      <c r="U85" t="s">
        <v>17</v>
      </c>
      <c r="V85" t="s">
        <v>16</v>
      </c>
      <c r="W85">
        <v>199</v>
      </c>
      <c r="X85">
        <v>65</v>
      </c>
    </row>
    <row r="86" spans="1:24" x14ac:dyDescent="0.3">
      <c r="A86">
        <v>1026</v>
      </c>
      <c r="B86">
        <v>36</v>
      </c>
      <c r="C86" s="1">
        <v>45811</v>
      </c>
      <c r="D86" t="s">
        <v>44</v>
      </c>
      <c r="E86" t="s">
        <v>42</v>
      </c>
      <c r="F86">
        <v>1</v>
      </c>
      <c r="G86">
        <v>36</v>
      </c>
      <c r="H86" t="s">
        <v>123</v>
      </c>
      <c r="I86" t="s">
        <v>99</v>
      </c>
      <c r="J86" t="s">
        <v>75</v>
      </c>
      <c r="K86" t="s">
        <v>66</v>
      </c>
      <c r="L86" s="1">
        <v>45755</v>
      </c>
      <c r="M86">
        <v>58</v>
      </c>
      <c r="N86">
        <v>1026</v>
      </c>
      <c r="O86">
        <v>4</v>
      </c>
      <c r="P86">
        <v>1</v>
      </c>
      <c r="Q86">
        <v>2199</v>
      </c>
      <c r="R86">
        <v>0.05</v>
      </c>
      <c r="S86">
        <v>2089</v>
      </c>
      <c r="T86">
        <v>4</v>
      </c>
      <c r="U86" t="s">
        <v>9</v>
      </c>
      <c r="V86" t="s">
        <v>6</v>
      </c>
      <c r="W86">
        <v>2199</v>
      </c>
      <c r="X86">
        <v>1250</v>
      </c>
    </row>
    <row r="87" spans="1:24" x14ac:dyDescent="0.3">
      <c r="A87">
        <v>1026</v>
      </c>
      <c r="B87">
        <v>36</v>
      </c>
      <c r="C87" s="1">
        <v>45811</v>
      </c>
      <c r="D87" t="s">
        <v>44</v>
      </c>
      <c r="E87" t="s">
        <v>42</v>
      </c>
      <c r="F87">
        <v>1</v>
      </c>
      <c r="G87">
        <v>36</v>
      </c>
      <c r="H87" t="s">
        <v>123</v>
      </c>
      <c r="I87" t="s">
        <v>99</v>
      </c>
      <c r="J87" t="s">
        <v>75</v>
      </c>
      <c r="K87" t="s">
        <v>66</v>
      </c>
      <c r="L87" s="1">
        <v>45755</v>
      </c>
      <c r="M87">
        <v>59</v>
      </c>
      <c r="N87">
        <v>1026</v>
      </c>
      <c r="O87">
        <v>20</v>
      </c>
      <c r="P87">
        <v>1</v>
      </c>
      <c r="Q87">
        <v>449</v>
      </c>
      <c r="R87">
        <v>0.2</v>
      </c>
      <c r="S87">
        <v>359</v>
      </c>
      <c r="T87">
        <v>20</v>
      </c>
      <c r="U87" t="s">
        <v>29</v>
      </c>
      <c r="V87" t="s">
        <v>16</v>
      </c>
      <c r="W87">
        <v>449</v>
      </c>
      <c r="X87">
        <v>180</v>
      </c>
    </row>
    <row r="88" spans="1:24" x14ac:dyDescent="0.3">
      <c r="A88">
        <v>1026</v>
      </c>
      <c r="B88">
        <v>36</v>
      </c>
      <c r="C88" s="1">
        <v>45811</v>
      </c>
      <c r="D88" t="s">
        <v>44</v>
      </c>
      <c r="E88" t="s">
        <v>42</v>
      </c>
      <c r="F88">
        <v>1</v>
      </c>
      <c r="G88">
        <v>36</v>
      </c>
      <c r="H88" t="s">
        <v>123</v>
      </c>
      <c r="I88" t="s">
        <v>99</v>
      </c>
      <c r="J88" t="s">
        <v>75</v>
      </c>
      <c r="K88" t="s">
        <v>66</v>
      </c>
      <c r="L88" s="1">
        <v>45755</v>
      </c>
      <c r="M88">
        <v>60</v>
      </c>
      <c r="N88">
        <v>1026</v>
      </c>
      <c r="O88">
        <v>18</v>
      </c>
      <c r="P88">
        <v>1</v>
      </c>
      <c r="Q88">
        <v>3299</v>
      </c>
      <c r="R88">
        <v>0.2</v>
      </c>
      <c r="S88">
        <v>2639</v>
      </c>
      <c r="T88">
        <v>18</v>
      </c>
      <c r="U88" t="s">
        <v>27</v>
      </c>
      <c r="V88" t="s">
        <v>19</v>
      </c>
      <c r="W88">
        <v>3299</v>
      </c>
      <c r="X88">
        <v>2050</v>
      </c>
    </row>
    <row r="89" spans="1:24" x14ac:dyDescent="0.3">
      <c r="A89">
        <v>1041</v>
      </c>
      <c r="B89">
        <v>36</v>
      </c>
      <c r="C89" s="1">
        <v>45785</v>
      </c>
      <c r="D89" t="s">
        <v>47</v>
      </c>
      <c r="E89" t="s">
        <v>46</v>
      </c>
      <c r="F89">
        <v>0</v>
      </c>
      <c r="G89">
        <v>36</v>
      </c>
      <c r="H89" t="s">
        <v>123</v>
      </c>
      <c r="I89" t="s">
        <v>99</v>
      </c>
      <c r="J89" t="s">
        <v>75</v>
      </c>
      <c r="K89" t="s">
        <v>66</v>
      </c>
      <c r="L89" s="1">
        <v>45755</v>
      </c>
      <c r="M89">
        <v>96</v>
      </c>
      <c r="N89">
        <v>1041</v>
      </c>
      <c r="O89">
        <v>5</v>
      </c>
      <c r="P89">
        <v>3</v>
      </c>
      <c r="Q89">
        <v>1299</v>
      </c>
      <c r="R89">
        <v>0.1</v>
      </c>
      <c r="S89">
        <v>3507</v>
      </c>
      <c r="T89">
        <v>5</v>
      </c>
      <c r="U89" t="s">
        <v>10</v>
      </c>
      <c r="V89" t="s">
        <v>11</v>
      </c>
      <c r="W89">
        <v>1299</v>
      </c>
      <c r="X89">
        <v>650</v>
      </c>
    </row>
    <row r="90" spans="1:24" x14ac:dyDescent="0.3">
      <c r="A90">
        <v>1041</v>
      </c>
      <c r="B90">
        <v>36</v>
      </c>
      <c r="C90" s="1">
        <v>45785</v>
      </c>
      <c r="D90" t="s">
        <v>47</v>
      </c>
      <c r="E90" t="s">
        <v>46</v>
      </c>
      <c r="F90">
        <v>0</v>
      </c>
      <c r="G90">
        <v>36</v>
      </c>
      <c r="H90" t="s">
        <v>123</v>
      </c>
      <c r="I90" t="s">
        <v>99</v>
      </c>
      <c r="J90" t="s">
        <v>75</v>
      </c>
      <c r="K90" t="s">
        <v>66</v>
      </c>
      <c r="L90" s="1">
        <v>45755</v>
      </c>
      <c r="M90">
        <v>97</v>
      </c>
      <c r="N90">
        <v>1041</v>
      </c>
      <c r="O90">
        <v>15</v>
      </c>
      <c r="P90">
        <v>1</v>
      </c>
      <c r="Q90">
        <v>349</v>
      </c>
      <c r="R90">
        <v>0.2</v>
      </c>
      <c r="S90">
        <v>279</v>
      </c>
      <c r="T90">
        <v>15</v>
      </c>
      <c r="U90" t="s">
        <v>24</v>
      </c>
      <c r="V90" t="s">
        <v>11</v>
      </c>
      <c r="W90">
        <v>349</v>
      </c>
      <c r="X90">
        <v>120</v>
      </c>
    </row>
    <row r="91" spans="1:24" x14ac:dyDescent="0.3">
      <c r="A91">
        <v>1041</v>
      </c>
      <c r="B91">
        <v>36</v>
      </c>
      <c r="C91" s="1">
        <v>45785</v>
      </c>
      <c r="D91" t="s">
        <v>47</v>
      </c>
      <c r="E91" t="s">
        <v>46</v>
      </c>
      <c r="F91">
        <v>0</v>
      </c>
      <c r="G91">
        <v>36</v>
      </c>
      <c r="H91" t="s">
        <v>123</v>
      </c>
      <c r="I91" t="s">
        <v>99</v>
      </c>
      <c r="J91" t="s">
        <v>75</v>
      </c>
      <c r="K91" t="s">
        <v>66</v>
      </c>
      <c r="L91" s="1">
        <v>45755</v>
      </c>
      <c r="M91">
        <v>98</v>
      </c>
      <c r="N91">
        <v>1041</v>
      </c>
      <c r="O91">
        <v>17</v>
      </c>
      <c r="P91">
        <v>2</v>
      </c>
      <c r="Q91">
        <v>8499</v>
      </c>
      <c r="R91">
        <v>0.1</v>
      </c>
      <c r="S91">
        <v>15298</v>
      </c>
      <c r="T91">
        <v>17</v>
      </c>
      <c r="U91" t="s">
        <v>26</v>
      </c>
      <c r="V91" t="s">
        <v>14</v>
      </c>
      <c r="W91">
        <v>8499</v>
      </c>
      <c r="X91">
        <v>6100</v>
      </c>
    </row>
    <row r="92" spans="1:24" x14ac:dyDescent="0.3">
      <c r="A92">
        <v>1041</v>
      </c>
      <c r="B92">
        <v>36</v>
      </c>
      <c r="C92" s="1">
        <v>45785</v>
      </c>
      <c r="D92" t="s">
        <v>47</v>
      </c>
      <c r="E92" t="s">
        <v>46</v>
      </c>
      <c r="F92">
        <v>0</v>
      </c>
      <c r="G92">
        <v>36</v>
      </c>
      <c r="H92" t="s">
        <v>123</v>
      </c>
      <c r="I92" t="s">
        <v>99</v>
      </c>
      <c r="J92" t="s">
        <v>75</v>
      </c>
      <c r="K92" t="s">
        <v>66</v>
      </c>
      <c r="L92" s="1">
        <v>45755</v>
      </c>
      <c r="M92">
        <v>99</v>
      </c>
      <c r="N92">
        <v>1041</v>
      </c>
      <c r="O92">
        <v>11</v>
      </c>
      <c r="P92">
        <v>2</v>
      </c>
      <c r="Q92">
        <v>1099</v>
      </c>
      <c r="R92">
        <v>0.15</v>
      </c>
      <c r="S92">
        <v>1868</v>
      </c>
      <c r="T92">
        <v>11</v>
      </c>
      <c r="U92" t="s">
        <v>20</v>
      </c>
      <c r="V92" t="s">
        <v>19</v>
      </c>
      <c r="W92">
        <v>1099</v>
      </c>
      <c r="X92">
        <v>570</v>
      </c>
    </row>
    <row r="93" spans="1:24" x14ac:dyDescent="0.3">
      <c r="A93">
        <v>1038</v>
      </c>
      <c r="B93">
        <v>30</v>
      </c>
      <c r="C93" s="1">
        <v>45884</v>
      </c>
      <c r="D93" t="s">
        <v>41</v>
      </c>
      <c r="E93" t="s">
        <v>42</v>
      </c>
      <c r="F93">
        <v>6</v>
      </c>
      <c r="G93">
        <v>30</v>
      </c>
      <c r="H93" t="s">
        <v>117</v>
      </c>
      <c r="I93" t="s">
        <v>86</v>
      </c>
      <c r="J93" t="s">
        <v>87</v>
      </c>
      <c r="K93" t="s">
        <v>66</v>
      </c>
      <c r="L93" s="1">
        <v>45485</v>
      </c>
      <c r="M93">
        <v>87</v>
      </c>
      <c r="N93">
        <v>1038</v>
      </c>
      <c r="O93">
        <v>6</v>
      </c>
      <c r="P93">
        <v>2</v>
      </c>
      <c r="Q93">
        <v>1899</v>
      </c>
      <c r="R93">
        <v>0.15</v>
      </c>
      <c r="S93">
        <v>3228</v>
      </c>
      <c r="T93">
        <v>6</v>
      </c>
      <c r="U93" t="s">
        <v>12</v>
      </c>
      <c r="V93" t="s">
        <v>11</v>
      </c>
      <c r="W93">
        <v>1899</v>
      </c>
      <c r="X93">
        <v>950</v>
      </c>
    </row>
    <row r="94" spans="1:24" x14ac:dyDescent="0.3">
      <c r="A94">
        <v>1038</v>
      </c>
      <c r="B94">
        <v>30</v>
      </c>
      <c r="C94" s="1">
        <v>45884</v>
      </c>
      <c r="D94" t="s">
        <v>41</v>
      </c>
      <c r="E94" t="s">
        <v>42</v>
      </c>
      <c r="F94">
        <v>6</v>
      </c>
      <c r="G94">
        <v>30</v>
      </c>
      <c r="H94" t="s">
        <v>117</v>
      </c>
      <c r="I94" t="s">
        <v>86</v>
      </c>
      <c r="J94" t="s">
        <v>87</v>
      </c>
      <c r="K94" t="s">
        <v>66</v>
      </c>
      <c r="L94" s="1">
        <v>45485</v>
      </c>
      <c r="M94">
        <v>88</v>
      </c>
      <c r="N94">
        <v>1038</v>
      </c>
      <c r="O94">
        <v>3</v>
      </c>
      <c r="P94">
        <v>1</v>
      </c>
      <c r="Q94">
        <v>1799</v>
      </c>
      <c r="R94">
        <v>0</v>
      </c>
      <c r="S94">
        <v>1799</v>
      </c>
      <c r="T94">
        <v>3</v>
      </c>
      <c r="U94" t="s">
        <v>8</v>
      </c>
      <c r="V94" t="s">
        <v>6</v>
      </c>
      <c r="W94">
        <v>1799</v>
      </c>
      <c r="X94">
        <v>980</v>
      </c>
    </row>
    <row r="95" spans="1:24" x14ac:dyDescent="0.3">
      <c r="A95">
        <v>1038</v>
      </c>
      <c r="B95">
        <v>30</v>
      </c>
      <c r="C95" s="1">
        <v>45884</v>
      </c>
      <c r="D95" t="s">
        <v>41</v>
      </c>
      <c r="E95" t="s">
        <v>42</v>
      </c>
      <c r="F95">
        <v>6</v>
      </c>
      <c r="G95">
        <v>30</v>
      </c>
      <c r="H95" t="s">
        <v>117</v>
      </c>
      <c r="I95" t="s">
        <v>86</v>
      </c>
      <c r="J95" t="s">
        <v>87</v>
      </c>
      <c r="K95" t="s">
        <v>66</v>
      </c>
      <c r="L95" s="1">
        <v>45485</v>
      </c>
      <c r="M95">
        <v>89</v>
      </c>
      <c r="N95">
        <v>1038</v>
      </c>
      <c r="O95">
        <v>10</v>
      </c>
      <c r="P95">
        <v>2</v>
      </c>
      <c r="Q95">
        <v>599</v>
      </c>
      <c r="R95">
        <v>0</v>
      </c>
      <c r="S95">
        <v>1198</v>
      </c>
      <c r="T95">
        <v>10</v>
      </c>
      <c r="U95" t="s">
        <v>18</v>
      </c>
      <c r="V95" t="s">
        <v>19</v>
      </c>
      <c r="W95">
        <v>599</v>
      </c>
      <c r="X95">
        <v>260</v>
      </c>
    </row>
    <row r="96" spans="1:24" x14ac:dyDescent="0.3">
      <c r="A96">
        <v>1038</v>
      </c>
      <c r="B96">
        <v>30</v>
      </c>
      <c r="C96" s="1">
        <v>45884</v>
      </c>
      <c r="D96" t="s">
        <v>41</v>
      </c>
      <c r="E96" t="s">
        <v>42</v>
      </c>
      <c r="F96">
        <v>6</v>
      </c>
      <c r="G96">
        <v>30</v>
      </c>
      <c r="H96" t="s">
        <v>117</v>
      </c>
      <c r="I96" t="s">
        <v>86</v>
      </c>
      <c r="J96" t="s">
        <v>87</v>
      </c>
      <c r="K96" t="s">
        <v>66</v>
      </c>
      <c r="L96" s="1">
        <v>45485</v>
      </c>
      <c r="M96">
        <v>90</v>
      </c>
      <c r="N96">
        <v>1038</v>
      </c>
      <c r="O96">
        <v>17</v>
      </c>
      <c r="P96">
        <v>2</v>
      </c>
      <c r="Q96">
        <v>8499</v>
      </c>
      <c r="R96">
        <v>0</v>
      </c>
      <c r="S96">
        <v>16998</v>
      </c>
      <c r="T96">
        <v>17</v>
      </c>
      <c r="U96" t="s">
        <v>26</v>
      </c>
      <c r="V96" t="s">
        <v>14</v>
      </c>
      <c r="W96">
        <v>8499</v>
      </c>
      <c r="X96">
        <v>6100</v>
      </c>
    </row>
    <row r="97" spans="1:24" x14ac:dyDescent="0.3">
      <c r="A97">
        <v>1040</v>
      </c>
      <c r="B97">
        <v>37</v>
      </c>
      <c r="C97" s="1">
        <v>45757</v>
      </c>
      <c r="D97" t="s">
        <v>44</v>
      </c>
      <c r="E97" t="s">
        <v>49</v>
      </c>
      <c r="F97">
        <v>6</v>
      </c>
      <c r="G97">
        <v>37</v>
      </c>
      <c r="H97" t="s">
        <v>124</v>
      </c>
      <c r="I97" t="s">
        <v>101</v>
      </c>
      <c r="J97" t="s">
        <v>78</v>
      </c>
      <c r="K97" t="s">
        <v>58</v>
      </c>
      <c r="L97" s="1">
        <v>44933</v>
      </c>
      <c r="M97">
        <v>92</v>
      </c>
      <c r="N97">
        <v>1040</v>
      </c>
      <c r="O97">
        <v>13</v>
      </c>
      <c r="P97">
        <v>2</v>
      </c>
      <c r="Q97">
        <v>10999</v>
      </c>
      <c r="R97">
        <v>0</v>
      </c>
      <c r="S97">
        <v>21998</v>
      </c>
      <c r="T97">
        <v>13</v>
      </c>
      <c r="U97" t="s">
        <v>22</v>
      </c>
      <c r="V97" t="s">
        <v>6</v>
      </c>
      <c r="W97">
        <v>10999</v>
      </c>
      <c r="X97">
        <v>7900</v>
      </c>
    </row>
    <row r="98" spans="1:24" x14ac:dyDescent="0.3">
      <c r="A98">
        <v>1040</v>
      </c>
      <c r="B98">
        <v>37</v>
      </c>
      <c r="C98" s="1">
        <v>45757</v>
      </c>
      <c r="D98" t="s">
        <v>44</v>
      </c>
      <c r="E98" t="s">
        <v>49</v>
      </c>
      <c r="F98">
        <v>6</v>
      </c>
      <c r="G98">
        <v>37</v>
      </c>
      <c r="H98" t="s">
        <v>124</v>
      </c>
      <c r="I98" t="s">
        <v>101</v>
      </c>
      <c r="J98" t="s">
        <v>78</v>
      </c>
      <c r="K98" t="s">
        <v>58</v>
      </c>
      <c r="L98" s="1">
        <v>44933</v>
      </c>
      <c r="M98">
        <v>93</v>
      </c>
      <c r="N98">
        <v>1040</v>
      </c>
      <c r="O98">
        <v>8</v>
      </c>
      <c r="P98">
        <v>2</v>
      </c>
      <c r="Q98">
        <v>299</v>
      </c>
      <c r="R98">
        <v>0</v>
      </c>
      <c r="S98">
        <v>598</v>
      </c>
      <c r="T98">
        <v>8</v>
      </c>
      <c r="U98" t="s">
        <v>15</v>
      </c>
      <c r="V98" t="s">
        <v>16</v>
      </c>
      <c r="W98">
        <v>299</v>
      </c>
      <c r="X98">
        <v>110</v>
      </c>
    </row>
    <row r="99" spans="1:24" x14ac:dyDescent="0.3">
      <c r="A99">
        <v>1040</v>
      </c>
      <c r="B99">
        <v>37</v>
      </c>
      <c r="C99" s="1">
        <v>45757</v>
      </c>
      <c r="D99" t="s">
        <v>44</v>
      </c>
      <c r="E99" t="s">
        <v>49</v>
      </c>
      <c r="F99">
        <v>6</v>
      </c>
      <c r="G99">
        <v>37</v>
      </c>
      <c r="H99" t="s">
        <v>124</v>
      </c>
      <c r="I99" t="s">
        <v>101</v>
      </c>
      <c r="J99" t="s">
        <v>78</v>
      </c>
      <c r="K99" t="s">
        <v>58</v>
      </c>
      <c r="L99" s="1">
        <v>44933</v>
      </c>
      <c r="M99">
        <v>94</v>
      </c>
      <c r="N99">
        <v>1040</v>
      </c>
      <c r="O99">
        <v>5</v>
      </c>
      <c r="P99">
        <v>1</v>
      </c>
      <c r="Q99">
        <v>1299</v>
      </c>
      <c r="R99">
        <v>0.2</v>
      </c>
      <c r="S99">
        <v>1039</v>
      </c>
      <c r="T99">
        <v>5</v>
      </c>
      <c r="U99" t="s">
        <v>10</v>
      </c>
      <c r="V99" t="s">
        <v>11</v>
      </c>
      <c r="W99">
        <v>1299</v>
      </c>
      <c r="X99">
        <v>650</v>
      </c>
    </row>
    <row r="100" spans="1:24" x14ac:dyDescent="0.3">
      <c r="A100">
        <v>1040</v>
      </c>
      <c r="B100">
        <v>37</v>
      </c>
      <c r="C100" s="1">
        <v>45757</v>
      </c>
      <c r="D100" t="s">
        <v>44</v>
      </c>
      <c r="E100" t="s">
        <v>49</v>
      </c>
      <c r="F100">
        <v>6</v>
      </c>
      <c r="G100">
        <v>37</v>
      </c>
      <c r="H100" t="s">
        <v>124</v>
      </c>
      <c r="I100" t="s">
        <v>101</v>
      </c>
      <c r="J100" t="s">
        <v>78</v>
      </c>
      <c r="K100" t="s">
        <v>58</v>
      </c>
      <c r="L100" s="1">
        <v>44933</v>
      </c>
      <c r="M100">
        <v>95</v>
      </c>
      <c r="N100">
        <v>1040</v>
      </c>
      <c r="O100">
        <v>1</v>
      </c>
      <c r="P100">
        <v>1</v>
      </c>
      <c r="Q100">
        <v>799</v>
      </c>
      <c r="R100">
        <v>0</v>
      </c>
      <c r="S100">
        <v>799</v>
      </c>
      <c r="T100">
        <v>1</v>
      </c>
      <c r="U100" t="s">
        <v>5</v>
      </c>
      <c r="V100" t="s">
        <v>6</v>
      </c>
      <c r="W100">
        <v>799</v>
      </c>
      <c r="X100">
        <v>420</v>
      </c>
    </row>
    <row r="101" spans="1:24" x14ac:dyDescent="0.3">
      <c r="A101">
        <v>1042</v>
      </c>
      <c r="B101">
        <v>29</v>
      </c>
      <c r="C101" s="1">
        <v>45739</v>
      </c>
      <c r="D101" t="s">
        <v>44</v>
      </c>
      <c r="E101" t="s">
        <v>49</v>
      </c>
      <c r="F101">
        <v>7</v>
      </c>
      <c r="G101">
        <v>29</v>
      </c>
      <c r="H101" t="s">
        <v>116</v>
      </c>
      <c r="I101" t="s">
        <v>83</v>
      </c>
      <c r="J101" t="s">
        <v>84</v>
      </c>
      <c r="K101" t="s">
        <v>62</v>
      </c>
      <c r="L101" s="1">
        <v>45645</v>
      </c>
      <c r="M101">
        <v>100</v>
      </c>
      <c r="N101">
        <v>1042</v>
      </c>
      <c r="O101">
        <v>9</v>
      </c>
      <c r="P101">
        <v>1</v>
      </c>
      <c r="Q101">
        <v>199</v>
      </c>
      <c r="R101">
        <v>0</v>
      </c>
      <c r="S101">
        <v>199</v>
      </c>
      <c r="T101">
        <v>9</v>
      </c>
      <c r="U101" t="s">
        <v>17</v>
      </c>
      <c r="V101" t="s">
        <v>16</v>
      </c>
      <c r="W101">
        <v>199</v>
      </c>
      <c r="X101">
        <v>65</v>
      </c>
    </row>
    <row r="102" spans="1:24" x14ac:dyDescent="0.3">
      <c r="A102">
        <v>1042</v>
      </c>
      <c r="B102">
        <v>29</v>
      </c>
      <c r="C102" s="1">
        <v>45739</v>
      </c>
      <c r="D102" t="s">
        <v>44</v>
      </c>
      <c r="E102" t="s">
        <v>49</v>
      </c>
      <c r="F102">
        <v>7</v>
      </c>
      <c r="G102">
        <v>29</v>
      </c>
      <c r="H102" t="s">
        <v>116</v>
      </c>
      <c r="I102" t="s">
        <v>83</v>
      </c>
      <c r="J102" t="s">
        <v>84</v>
      </c>
      <c r="K102" t="s">
        <v>62</v>
      </c>
      <c r="L102" s="1">
        <v>45645</v>
      </c>
      <c r="M102">
        <v>101</v>
      </c>
      <c r="N102">
        <v>1042</v>
      </c>
      <c r="O102">
        <v>8</v>
      </c>
      <c r="P102">
        <v>1</v>
      </c>
      <c r="Q102">
        <v>299</v>
      </c>
      <c r="R102">
        <v>0</v>
      </c>
      <c r="S102">
        <v>299</v>
      </c>
      <c r="T102">
        <v>8</v>
      </c>
      <c r="U102" t="s">
        <v>15</v>
      </c>
      <c r="V102" t="s">
        <v>16</v>
      </c>
      <c r="W102">
        <v>299</v>
      </c>
      <c r="X102">
        <v>110</v>
      </c>
    </row>
    <row r="103" spans="1:24" x14ac:dyDescent="0.3">
      <c r="A103">
        <v>1042</v>
      </c>
      <c r="B103">
        <v>29</v>
      </c>
      <c r="C103" s="1">
        <v>45739</v>
      </c>
      <c r="D103" t="s">
        <v>44</v>
      </c>
      <c r="E103" t="s">
        <v>49</v>
      </c>
      <c r="F103">
        <v>7</v>
      </c>
      <c r="G103">
        <v>29</v>
      </c>
      <c r="H103" t="s">
        <v>116</v>
      </c>
      <c r="I103" t="s">
        <v>83</v>
      </c>
      <c r="J103" t="s">
        <v>84</v>
      </c>
      <c r="K103" t="s">
        <v>62</v>
      </c>
      <c r="L103" s="1">
        <v>45645</v>
      </c>
      <c r="M103">
        <v>102</v>
      </c>
      <c r="N103">
        <v>1042</v>
      </c>
      <c r="O103">
        <v>20</v>
      </c>
      <c r="P103">
        <v>2</v>
      </c>
      <c r="Q103">
        <v>449</v>
      </c>
      <c r="R103">
        <v>0</v>
      </c>
      <c r="S103">
        <v>898</v>
      </c>
      <c r="T103">
        <v>20</v>
      </c>
      <c r="U103" t="s">
        <v>29</v>
      </c>
      <c r="V103" t="s">
        <v>16</v>
      </c>
      <c r="W103">
        <v>449</v>
      </c>
      <c r="X103">
        <v>180</v>
      </c>
    </row>
    <row r="104" spans="1:24" x14ac:dyDescent="0.3">
      <c r="A104">
        <v>1042</v>
      </c>
      <c r="B104">
        <v>29</v>
      </c>
      <c r="C104" s="1">
        <v>45739</v>
      </c>
      <c r="D104" t="s">
        <v>44</v>
      </c>
      <c r="E104" t="s">
        <v>49</v>
      </c>
      <c r="F104">
        <v>7</v>
      </c>
      <c r="G104">
        <v>29</v>
      </c>
      <c r="H104" t="s">
        <v>116</v>
      </c>
      <c r="I104" t="s">
        <v>83</v>
      </c>
      <c r="J104" t="s">
        <v>84</v>
      </c>
      <c r="K104" t="s">
        <v>62</v>
      </c>
      <c r="L104" s="1">
        <v>45645</v>
      </c>
      <c r="M104">
        <v>103</v>
      </c>
      <c r="N104">
        <v>1042</v>
      </c>
      <c r="O104">
        <v>17</v>
      </c>
      <c r="P104">
        <v>1</v>
      </c>
      <c r="Q104">
        <v>8499</v>
      </c>
      <c r="R104">
        <v>0.05</v>
      </c>
      <c r="S104">
        <v>8074</v>
      </c>
      <c r="T104">
        <v>17</v>
      </c>
      <c r="U104" t="s">
        <v>26</v>
      </c>
      <c r="V104" t="s">
        <v>14</v>
      </c>
      <c r="W104">
        <v>8499</v>
      </c>
      <c r="X104">
        <v>6100</v>
      </c>
    </row>
    <row r="105" spans="1:24" x14ac:dyDescent="0.3">
      <c r="A105">
        <v>1043</v>
      </c>
      <c r="B105">
        <v>35</v>
      </c>
      <c r="C105" s="1">
        <v>45699</v>
      </c>
      <c r="D105" t="s">
        <v>41</v>
      </c>
      <c r="E105" t="s">
        <v>42</v>
      </c>
      <c r="F105">
        <v>2</v>
      </c>
      <c r="G105">
        <v>35</v>
      </c>
      <c r="H105" t="s">
        <v>122</v>
      </c>
      <c r="I105" t="s">
        <v>97</v>
      </c>
      <c r="J105" t="s">
        <v>72</v>
      </c>
      <c r="K105" t="s">
        <v>62</v>
      </c>
      <c r="L105" s="1">
        <v>45211</v>
      </c>
      <c r="M105">
        <v>104</v>
      </c>
      <c r="N105">
        <v>1043</v>
      </c>
      <c r="O105">
        <v>5</v>
      </c>
      <c r="P105">
        <v>1</v>
      </c>
      <c r="Q105">
        <v>1299</v>
      </c>
      <c r="R105">
        <v>0.15</v>
      </c>
      <c r="S105">
        <v>1104</v>
      </c>
      <c r="T105">
        <v>5</v>
      </c>
      <c r="U105" t="s">
        <v>10</v>
      </c>
      <c r="V105" t="s">
        <v>11</v>
      </c>
      <c r="W105">
        <v>1299</v>
      </c>
      <c r="X105">
        <v>650</v>
      </c>
    </row>
    <row r="106" spans="1:24" x14ac:dyDescent="0.3">
      <c r="A106">
        <v>1043</v>
      </c>
      <c r="B106">
        <v>35</v>
      </c>
      <c r="C106" s="1">
        <v>45699</v>
      </c>
      <c r="D106" t="s">
        <v>41</v>
      </c>
      <c r="E106" t="s">
        <v>42</v>
      </c>
      <c r="F106">
        <v>2</v>
      </c>
      <c r="G106">
        <v>35</v>
      </c>
      <c r="H106" t="s">
        <v>122</v>
      </c>
      <c r="I106" t="s">
        <v>97</v>
      </c>
      <c r="J106" t="s">
        <v>72</v>
      </c>
      <c r="K106" t="s">
        <v>62</v>
      </c>
      <c r="L106" s="1">
        <v>45211</v>
      </c>
      <c r="M106">
        <v>105</v>
      </c>
      <c r="N106">
        <v>1043</v>
      </c>
      <c r="O106">
        <v>7</v>
      </c>
      <c r="P106">
        <v>1</v>
      </c>
      <c r="Q106">
        <v>999</v>
      </c>
      <c r="R106">
        <v>0</v>
      </c>
      <c r="S106">
        <v>999</v>
      </c>
      <c r="T106">
        <v>7</v>
      </c>
      <c r="U106" t="s">
        <v>13</v>
      </c>
      <c r="V106" t="s">
        <v>14</v>
      </c>
      <c r="W106">
        <v>999</v>
      </c>
      <c r="X106">
        <v>480</v>
      </c>
    </row>
    <row r="107" spans="1:24" x14ac:dyDescent="0.3">
      <c r="A107">
        <v>1043</v>
      </c>
      <c r="B107">
        <v>35</v>
      </c>
      <c r="C107" s="1">
        <v>45699</v>
      </c>
      <c r="D107" t="s">
        <v>41</v>
      </c>
      <c r="E107" t="s">
        <v>42</v>
      </c>
      <c r="F107">
        <v>2</v>
      </c>
      <c r="G107">
        <v>35</v>
      </c>
      <c r="H107" t="s">
        <v>122</v>
      </c>
      <c r="I107" t="s">
        <v>97</v>
      </c>
      <c r="J107" t="s">
        <v>72</v>
      </c>
      <c r="K107" t="s">
        <v>62</v>
      </c>
      <c r="L107" s="1">
        <v>45211</v>
      </c>
      <c r="M107">
        <v>106</v>
      </c>
      <c r="N107">
        <v>1043</v>
      </c>
      <c r="O107">
        <v>3</v>
      </c>
      <c r="P107">
        <v>1</v>
      </c>
      <c r="Q107">
        <v>1799</v>
      </c>
      <c r="R107">
        <v>0.1</v>
      </c>
      <c r="S107">
        <v>1619</v>
      </c>
      <c r="T107">
        <v>3</v>
      </c>
      <c r="U107" t="s">
        <v>8</v>
      </c>
      <c r="V107" t="s">
        <v>6</v>
      </c>
      <c r="W107">
        <v>1799</v>
      </c>
      <c r="X107">
        <v>980</v>
      </c>
    </row>
    <row r="108" spans="1:24" x14ac:dyDescent="0.3">
      <c r="A108">
        <v>1043</v>
      </c>
      <c r="B108">
        <v>35</v>
      </c>
      <c r="C108" s="1">
        <v>45699</v>
      </c>
      <c r="D108" t="s">
        <v>41</v>
      </c>
      <c r="E108" t="s">
        <v>42</v>
      </c>
      <c r="F108">
        <v>2</v>
      </c>
      <c r="G108">
        <v>35</v>
      </c>
      <c r="H108" t="s">
        <v>122</v>
      </c>
      <c r="I108" t="s">
        <v>97</v>
      </c>
      <c r="J108" t="s">
        <v>72</v>
      </c>
      <c r="K108" t="s">
        <v>62</v>
      </c>
      <c r="L108" s="1">
        <v>45211</v>
      </c>
      <c r="M108">
        <v>107</v>
      </c>
      <c r="N108">
        <v>1043</v>
      </c>
      <c r="O108">
        <v>14</v>
      </c>
      <c r="P108">
        <v>1</v>
      </c>
      <c r="Q108">
        <v>2499</v>
      </c>
      <c r="R108">
        <v>0.15</v>
      </c>
      <c r="S108">
        <v>2124</v>
      </c>
      <c r="T108">
        <v>14</v>
      </c>
      <c r="U108" t="s">
        <v>23</v>
      </c>
      <c r="V108" t="s">
        <v>6</v>
      </c>
      <c r="W108">
        <v>2499</v>
      </c>
      <c r="X108">
        <v>1500</v>
      </c>
    </row>
    <row r="109" spans="1:24" x14ac:dyDescent="0.3">
      <c r="A109">
        <v>1044</v>
      </c>
      <c r="B109">
        <v>2</v>
      </c>
      <c r="C109" s="1">
        <v>45952</v>
      </c>
      <c r="D109" t="s">
        <v>41</v>
      </c>
      <c r="E109" t="s">
        <v>46</v>
      </c>
      <c r="F109">
        <v>4</v>
      </c>
      <c r="G109">
        <v>2</v>
      </c>
      <c r="H109" t="s">
        <v>59</v>
      </c>
      <c r="I109" t="s">
        <v>60</v>
      </c>
      <c r="J109" t="s">
        <v>61</v>
      </c>
      <c r="K109" t="s">
        <v>62</v>
      </c>
      <c r="L109" s="1">
        <v>45041</v>
      </c>
      <c r="M109">
        <v>108</v>
      </c>
      <c r="N109">
        <v>1044</v>
      </c>
      <c r="O109">
        <v>10</v>
      </c>
      <c r="P109">
        <v>1</v>
      </c>
      <c r="Q109">
        <v>599</v>
      </c>
      <c r="R109">
        <v>0.2</v>
      </c>
      <c r="S109">
        <v>479</v>
      </c>
      <c r="T109">
        <v>10</v>
      </c>
      <c r="U109" t="s">
        <v>18</v>
      </c>
      <c r="V109" t="s">
        <v>19</v>
      </c>
      <c r="W109">
        <v>599</v>
      </c>
      <c r="X109">
        <v>260</v>
      </c>
    </row>
    <row r="110" spans="1:24" x14ac:dyDescent="0.3">
      <c r="A110">
        <v>1044</v>
      </c>
      <c r="B110">
        <v>2</v>
      </c>
      <c r="C110" s="1">
        <v>45952</v>
      </c>
      <c r="D110" t="s">
        <v>41</v>
      </c>
      <c r="E110" t="s">
        <v>46</v>
      </c>
      <c r="F110">
        <v>4</v>
      </c>
      <c r="G110">
        <v>2</v>
      </c>
      <c r="H110" t="s">
        <v>59</v>
      </c>
      <c r="I110" t="s">
        <v>60</v>
      </c>
      <c r="J110" t="s">
        <v>61</v>
      </c>
      <c r="K110" t="s">
        <v>62</v>
      </c>
      <c r="L110" s="1">
        <v>45041</v>
      </c>
      <c r="M110">
        <v>109</v>
      </c>
      <c r="N110">
        <v>1044</v>
      </c>
      <c r="O110">
        <v>13</v>
      </c>
      <c r="P110">
        <v>1</v>
      </c>
      <c r="Q110">
        <v>10999</v>
      </c>
      <c r="R110">
        <v>0.15</v>
      </c>
      <c r="S110">
        <v>9349</v>
      </c>
      <c r="T110">
        <v>13</v>
      </c>
      <c r="U110" t="s">
        <v>22</v>
      </c>
      <c r="V110" t="s">
        <v>6</v>
      </c>
      <c r="W110">
        <v>10999</v>
      </c>
      <c r="X110">
        <v>7900</v>
      </c>
    </row>
    <row r="111" spans="1:24" x14ac:dyDescent="0.3">
      <c r="A111">
        <v>1044</v>
      </c>
      <c r="B111">
        <v>2</v>
      </c>
      <c r="C111" s="1">
        <v>45952</v>
      </c>
      <c r="D111" t="s">
        <v>41</v>
      </c>
      <c r="E111" t="s">
        <v>46</v>
      </c>
      <c r="F111">
        <v>4</v>
      </c>
      <c r="G111">
        <v>2</v>
      </c>
      <c r="H111" t="s">
        <v>59</v>
      </c>
      <c r="I111" t="s">
        <v>60</v>
      </c>
      <c r="J111" t="s">
        <v>61</v>
      </c>
      <c r="K111" t="s">
        <v>62</v>
      </c>
      <c r="L111" s="1">
        <v>45041</v>
      </c>
      <c r="M111">
        <v>110</v>
      </c>
      <c r="N111">
        <v>1044</v>
      </c>
      <c r="O111">
        <v>14</v>
      </c>
      <c r="P111">
        <v>2</v>
      </c>
      <c r="Q111">
        <v>2499</v>
      </c>
      <c r="R111">
        <v>0.1</v>
      </c>
      <c r="S111">
        <v>4498</v>
      </c>
      <c r="T111">
        <v>14</v>
      </c>
      <c r="U111" t="s">
        <v>23</v>
      </c>
      <c r="V111" t="s">
        <v>6</v>
      </c>
      <c r="W111">
        <v>2499</v>
      </c>
      <c r="X111">
        <v>1500</v>
      </c>
    </row>
    <row r="112" spans="1:24" x14ac:dyDescent="0.3">
      <c r="A112">
        <v>1045</v>
      </c>
      <c r="B112">
        <v>15</v>
      </c>
      <c r="C112" s="1">
        <v>45797</v>
      </c>
      <c r="D112" t="s">
        <v>41</v>
      </c>
      <c r="E112" t="s">
        <v>46</v>
      </c>
      <c r="F112">
        <v>4</v>
      </c>
      <c r="G112">
        <v>15</v>
      </c>
      <c r="H112" t="s">
        <v>96</v>
      </c>
      <c r="I112" t="s">
        <v>97</v>
      </c>
      <c r="J112" t="s">
        <v>72</v>
      </c>
      <c r="K112" t="s">
        <v>66</v>
      </c>
      <c r="L112" s="1">
        <v>45531</v>
      </c>
      <c r="M112">
        <v>111</v>
      </c>
      <c r="N112">
        <v>1045</v>
      </c>
      <c r="O112">
        <v>11</v>
      </c>
      <c r="P112">
        <v>2</v>
      </c>
      <c r="Q112">
        <v>1099</v>
      </c>
      <c r="R112">
        <v>0.15</v>
      </c>
      <c r="S112">
        <v>1868</v>
      </c>
      <c r="T112">
        <v>11</v>
      </c>
      <c r="U112" t="s">
        <v>20</v>
      </c>
      <c r="V112" t="s">
        <v>19</v>
      </c>
      <c r="W112">
        <v>1099</v>
      </c>
      <c r="X112">
        <v>570</v>
      </c>
    </row>
    <row r="113" spans="1:24" x14ac:dyDescent="0.3">
      <c r="A113">
        <v>1045</v>
      </c>
      <c r="B113">
        <v>15</v>
      </c>
      <c r="C113" s="1">
        <v>45797</v>
      </c>
      <c r="D113" t="s">
        <v>41</v>
      </c>
      <c r="E113" t="s">
        <v>46</v>
      </c>
      <c r="F113">
        <v>4</v>
      </c>
      <c r="G113">
        <v>15</v>
      </c>
      <c r="H113" t="s">
        <v>96</v>
      </c>
      <c r="I113" t="s">
        <v>97</v>
      </c>
      <c r="J113" t="s">
        <v>72</v>
      </c>
      <c r="K113" t="s">
        <v>66</v>
      </c>
      <c r="L113" s="1">
        <v>45531</v>
      </c>
      <c r="M113">
        <v>112</v>
      </c>
      <c r="N113">
        <v>1045</v>
      </c>
      <c r="O113">
        <v>13</v>
      </c>
      <c r="P113">
        <v>1</v>
      </c>
      <c r="Q113">
        <v>10999</v>
      </c>
      <c r="R113">
        <v>0.1</v>
      </c>
      <c r="S113">
        <v>9899</v>
      </c>
      <c r="T113">
        <v>13</v>
      </c>
      <c r="U113" t="s">
        <v>22</v>
      </c>
      <c r="V113" t="s">
        <v>6</v>
      </c>
      <c r="W113">
        <v>10999</v>
      </c>
      <c r="X113">
        <v>7900</v>
      </c>
    </row>
    <row r="114" spans="1:24" x14ac:dyDescent="0.3">
      <c r="A114">
        <v>1045</v>
      </c>
      <c r="B114">
        <v>15</v>
      </c>
      <c r="C114" s="1">
        <v>45797</v>
      </c>
      <c r="D114" t="s">
        <v>41</v>
      </c>
      <c r="E114" t="s">
        <v>46</v>
      </c>
      <c r="F114">
        <v>4</v>
      </c>
      <c r="G114">
        <v>15</v>
      </c>
      <c r="H114" t="s">
        <v>96</v>
      </c>
      <c r="I114" t="s">
        <v>97</v>
      </c>
      <c r="J114" t="s">
        <v>72</v>
      </c>
      <c r="K114" t="s">
        <v>66</v>
      </c>
      <c r="L114" s="1">
        <v>45531</v>
      </c>
      <c r="M114">
        <v>113</v>
      </c>
      <c r="N114">
        <v>1045</v>
      </c>
      <c r="O114">
        <v>6</v>
      </c>
      <c r="P114">
        <v>1</v>
      </c>
      <c r="Q114">
        <v>1899</v>
      </c>
      <c r="R114">
        <v>0.2</v>
      </c>
      <c r="S114">
        <v>1519</v>
      </c>
      <c r="T114">
        <v>6</v>
      </c>
      <c r="U114" t="s">
        <v>12</v>
      </c>
      <c r="V114" t="s">
        <v>11</v>
      </c>
      <c r="W114">
        <v>1899</v>
      </c>
      <c r="X114">
        <v>950</v>
      </c>
    </row>
    <row r="115" spans="1:24" x14ac:dyDescent="0.3">
      <c r="A115">
        <v>1045</v>
      </c>
      <c r="B115">
        <v>15</v>
      </c>
      <c r="C115" s="1">
        <v>45797</v>
      </c>
      <c r="D115" t="s">
        <v>41</v>
      </c>
      <c r="E115" t="s">
        <v>46</v>
      </c>
      <c r="F115">
        <v>4</v>
      </c>
      <c r="G115">
        <v>15</v>
      </c>
      <c r="H115" t="s">
        <v>96</v>
      </c>
      <c r="I115" t="s">
        <v>97</v>
      </c>
      <c r="J115" t="s">
        <v>72</v>
      </c>
      <c r="K115" t="s">
        <v>66</v>
      </c>
      <c r="L115" s="1">
        <v>45531</v>
      </c>
      <c r="M115">
        <v>114</v>
      </c>
      <c r="N115">
        <v>1045</v>
      </c>
      <c r="O115">
        <v>15</v>
      </c>
      <c r="P115">
        <v>1</v>
      </c>
      <c r="Q115">
        <v>349</v>
      </c>
      <c r="R115">
        <v>0.2</v>
      </c>
      <c r="S115">
        <v>279</v>
      </c>
      <c r="T115">
        <v>15</v>
      </c>
      <c r="U115" t="s">
        <v>24</v>
      </c>
      <c r="V115" t="s">
        <v>11</v>
      </c>
      <c r="W115">
        <v>349</v>
      </c>
      <c r="X115">
        <v>120</v>
      </c>
    </row>
    <row r="116" spans="1:24" x14ac:dyDescent="0.3">
      <c r="A116">
        <v>1046</v>
      </c>
      <c r="B116">
        <v>28</v>
      </c>
      <c r="C116" s="1">
        <v>45727</v>
      </c>
      <c r="D116" t="s">
        <v>47</v>
      </c>
      <c r="E116" t="s">
        <v>49</v>
      </c>
      <c r="F116">
        <v>0</v>
      </c>
      <c r="G116">
        <v>28</v>
      </c>
      <c r="H116" t="s">
        <v>115</v>
      </c>
      <c r="I116" t="s">
        <v>80</v>
      </c>
      <c r="J116" t="s">
        <v>81</v>
      </c>
      <c r="K116" t="s">
        <v>58</v>
      </c>
      <c r="L116" s="1">
        <v>45592</v>
      </c>
      <c r="M116">
        <v>115</v>
      </c>
      <c r="N116">
        <v>1046</v>
      </c>
      <c r="O116">
        <v>2</v>
      </c>
      <c r="P116">
        <v>1</v>
      </c>
      <c r="Q116">
        <v>2499</v>
      </c>
      <c r="R116">
        <v>0</v>
      </c>
      <c r="S116">
        <v>2499</v>
      </c>
      <c r="T116">
        <v>2</v>
      </c>
      <c r="U116" t="s">
        <v>7</v>
      </c>
      <c r="V116" t="s">
        <v>6</v>
      </c>
      <c r="W116">
        <v>2499</v>
      </c>
      <c r="X116">
        <v>1500</v>
      </c>
    </row>
    <row r="117" spans="1:24" x14ac:dyDescent="0.3">
      <c r="A117">
        <v>1046</v>
      </c>
      <c r="B117">
        <v>28</v>
      </c>
      <c r="C117" s="1">
        <v>45727</v>
      </c>
      <c r="D117" t="s">
        <v>47</v>
      </c>
      <c r="E117" t="s">
        <v>49</v>
      </c>
      <c r="F117">
        <v>0</v>
      </c>
      <c r="G117">
        <v>28</v>
      </c>
      <c r="H117" t="s">
        <v>115</v>
      </c>
      <c r="I117" t="s">
        <v>80</v>
      </c>
      <c r="J117" t="s">
        <v>81</v>
      </c>
      <c r="K117" t="s">
        <v>58</v>
      </c>
      <c r="L117" s="1">
        <v>45592</v>
      </c>
      <c r="M117">
        <v>116</v>
      </c>
      <c r="N117">
        <v>1046</v>
      </c>
      <c r="O117">
        <v>9</v>
      </c>
      <c r="P117">
        <v>1</v>
      </c>
      <c r="Q117">
        <v>199</v>
      </c>
      <c r="R117">
        <v>0.05</v>
      </c>
      <c r="S117">
        <v>189</v>
      </c>
      <c r="T117">
        <v>9</v>
      </c>
      <c r="U117" t="s">
        <v>17</v>
      </c>
      <c r="V117" t="s">
        <v>16</v>
      </c>
      <c r="W117">
        <v>199</v>
      </c>
      <c r="X117">
        <v>65</v>
      </c>
    </row>
    <row r="118" spans="1:24" x14ac:dyDescent="0.3">
      <c r="A118">
        <v>1047</v>
      </c>
      <c r="B118">
        <v>25</v>
      </c>
      <c r="C118" s="1">
        <v>45800</v>
      </c>
      <c r="D118" t="s">
        <v>47</v>
      </c>
      <c r="E118" t="s">
        <v>49</v>
      </c>
      <c r="F118">
        <v>0</v>
      </c>
      <c r="G118">
        <v>25</v>
      </c>
      <c r="H118" t="s">
        <v>112</v>
      </c>
      <c r="I118" t="s">
        <v>71</v>
      </c>
      <c r="J118" t="s">
        <v>72</v>
      </c>
      <c r="K118" t="s">
        <v>58</v>
      </c>
      <c r="L118" s="1">
        <v>45501</v>
      </c>
      <c r="M118">
        <v>117</v>
      </c>
      <c r="N118">
        <v>1047</v>
      </c>
      <c r="O118">
        <v>3</v>
      </c>
      <c r="P118">
        <v>2</v>
      </c>
      <c r="Q118">
        <v>1799</v>
      </c>
      <c r="R118">
        <v>0</v>
      </c>
      <c r="S118">
        <v>3598</v>
      </c>
      <c r="T118">
        <v>3</v>
      </c>
      <c r="U118" t="s">
        <v>8</v>
      </c>
      <c r="V118" t="s">
        <v>6</v>
      </c>
      <c r="W118">
        <v>1799</v>
      </c>
      <c r="X118">
        <v>980</v>
      </c>
    </row>
    <row r="119" spans="1:24" x14ac:dyDescent="0.3">
      <c r="A119">
        <v>1047</v>
      </c>
      <c r="B119">
        <v>25</v>
      </c>
      <c r="C119" s="1">
        <v>45800</v>
      </c>
      <c r="D119" t="s">
        <v>47</v>
      </c>
      <c r="E119" t="s">
        <v>49</v>
      </c>
      <c r="F119">
        <v>0</v>
      </c>
      <c r="G119">
        <v>25</v>
      </c>
      <c r="H119" t="s">
        <v>112</v>
      </c>
      <c r="I119" t="s">
        <v>71</v>
      </c>
      <c r="J119" t="s">
        <v>72</v>
      </c>
      <c r="K119" t="s">
        <v>58</v>
      </c>
      <c r="L119" s="1">
        <v>45501</v>
      </c>
      <c r="M119">
        <v>118</v>
      </c>
      <c r="N119">
        <v>1047</v>
      </c>
      <c r="O119">
        <v>16</v>
      </c>
      <c r="P119">
        <v>3</v>
      </c>
      <c r="Q119">
        <v>1599</v>
      </c>
      <c r="R119">
        <v>0.05</v>
      </c>
      <c r="S119">
        <v>4557</v>
      </c>
      <c r="T119">
        <v>16</v>
      </c>
      <c r="U119" t="s">
        <v>25</v>
      </c>
      <c r="V119" t="s">
        <v>6</v>
      </c>
      <c r="W119">
        <v>1599</v>
      </c>
      <c r="X119">
        <v>900</v>
      </c>
    </row>
    <row r="120" spans="1:24" x14ac:dyDescent="0.3">
      <c r="A120">
        <v>1047</v>
      </c>
      <c r="B120">
        <v>25</v>
      </c>
      <c r="C120" s="1">
        <v>45800</v>
      </c>
      <c r="D120" t="s">
        <v>47</v>
      </c>
      <c r="E120" t="s">
        <v>49</v>
      </c>
      <c r="F120">
        <v>0</v>
      </c>
      <c r="G120">
        <v>25</v>
      </c>
      <c r="H120" t="s">
        <v>112</v>
      </c>
      <c r="I120" t="s">
        <v>71</v>
      </c>
      <c r="J120" t="s">
        <v>72</v>
      </c>
      <c r="K120" t="s">
        <v>58</v>
      </c>
      <c r="L120" s="1">
        <v>45501</v>
      </c>
      <c r="M120">
        <v>119</v>
      </c>
      <c r="N120">
        <v>1047</v>
      </c>
      <c r="O120">
        <v>1</v>
      </c>
      <c r="P120">
        <v>1</v>
      </c>
      <c r="Q120">
        <v>799</v>
      </c>
      <c r="R120">
        <v>0</v>
      </c>
      <c r="S120">
        <v>799</v>
      </c>
      <c r="T120">
        <v>1</v>
      </c>
      <c r="U120" t="s">
        <v>5</v>
      </c>
      <c r="V120" t="s">
        <v>6</v>
      </c>
      <c r="W120">
        <v>799</v>
      </c>
      <c r="X120">
        <v>420</v>
      </c>
    </row>
    <row r="121" spans="1:24" x14ac:dyDescent="0.3">
      <c r="A121">
        <v>1048</v>
      </c>
      <c r="B121">
        <v>3</v>
      </c>
      <c r="C121" s="1">
        <v>45673</v>
      </c>
      <c r="D121" t="s">
        <v>41</v>
      </c>
      <c r="E121" t="s">
        <v>46</v>
      </c>
      <c r="F121">
        <v>2</v>
      </c>
      <c r="G121">
        <v>3</v>
      </c>
      <c r="H121" t="s">
        <v>63</v>
      </c>
      <c r="I121" t="s">
        <v>64</v>
      </c>
      <c r="J121" t="s">
        <v>65</v>
      </c>
      <c r="K121" t="s">
        <v>66</v>
      </c>
      <c r="L121" s="1">
        <v>44952</v>
      </c>
      <c r="M121">
        <v>120</v>
      </c>
      <c r="N121">
        <v>1048</v>
      </c>
      <c r="O121">
        <v>8</v>
      </c>
      <c r="P121">
        <v>1</v>
      </c>
      <c r="Q121">
        <v>299</v>
      </c>
      <c r="R121">
        <v>0</v>
      </c>
      <c r="S121">
        <v>299</v>
      </c>
      <c r="T121">
        <v>8</v>
      </c>
      <c r="U121" t="s">
        <v>15</v>
      </c>
      <c r="V121" t="s">
        <v>16</v>
      </c>
      <c r="W121">
        <v>299</v>
      </c>
      <c r="X121">
        <v>110</v>
      </c>
    </row>
    <row r="122" spans="1:24" x14ac:dyDescent="0.3">
      <c r="A122">
        <v>1048</v>
      </c>
      <c r="B122">
        <v>3</v>
      </c>
      <c r="C122" s="1">
        <v>45673</v>
      </c>
      <c r="D122" t="s">
        <v>41</v>
      </c>
      <c r="E122" t="s">
        <v>46</v>
      </c>
      <c r="F122">
        <v>2</v>
      </c>
      <c r="G122">
        <v>3</v>
      </c>
      <c r="H122" t="s">
        <v>63</v>
      </c>
      <c r="I122" t="s">
        <v>64</v>
      </c>
      <c r="J122" t="s">
        <v>65</v>
      </c>
      <c r="K122" t="s">
        <v>66</v>
      </c>
      <c r="L122" s="1">
        <v>44952</v>
      </c>
      <c r="M122">
        <v>121</v>
      </c>
      <c r="N122">
        <v>1048</v>
      </c>
      <c r="O122">
        <v>5</v>
      </c>
      <c r="P122">
        <v>1</v>
      </c>
      <c r="Q122">
        <v>1299</v>
      </c>
      <c r="R122">
        <v>0</v>
      </c>
      <c r="S122">
        <v>1299</v>
      </c>
      <c r="T122">
        <v>5</v>
      </c>
      <c r="U122" t="s">
        <v>10</v>
      </c>
      <c r="V122" t="s">
        <v>11</v>
      </c>
      <c r="W122">
        <v>1299</v>
      </c>
      <c r="X122">
        <v>650</v>
      </c>
    </row>
    <row r="123" spans="1:24" x14ac:dyDescent="0.3">
      <c r="A123">
        <v>1049</v>
      </c>
      <c r="B123">
        <v>30</v>
      </c>
      <c r="C123" s="1">
        <v>46016</v>
      </c>
      <c r="D123" t="s">
        <v>41</v>
      </c>
      <c r="E123" t="s">
        <v>43</v>
      </c>
      <c r="F123">
        <v>7</v>
      </c>
      <c r="G123">
        <v>30</v>
      </c>
      <c r="H123" t="s">
        <v>117</v>
      </c>
      <c r="I123" t="s">
        <v>86</v>
      </c>
      <c r="J123" t="s">
        <v>87</v>
      </c>
      <c r="K123" t="s">
        <v>66</v>
      </c>
      <c r="L123" s="1">
        <v>45485</v>
      </c>
      <c r="M123">
        <v>122</v>
      </c>
      <c r="N123">
        <v>1049</v>
      </c>
      <c r="O123">
        <v>20</v>
      </c>
      <c r="P123">
        <v>2</v>
      </c>
      <c r="Q123">
        <v>449</v>
      </c>
      <c r="R123">
        <v>0</v>
      </c>
      <c r="S123">
        <v>898</v>
      </c>
      <c r="T123">
        <v>20</v>
      </c>
      <c r="U123" t="s">
        <v>29</v>
      </c>
      <c r="V123" t="s">
        <v>16</v>
      </c>
      <c r="W123">
        <v>449</v>
      </c>
      <c r="X123">
        <v>180</v>
      </c>
    </row>
    <row r="124" spans="1:24" x14ac:dyDescent="0.3">
      <c r="A124">
        <v>1049</v>
      </c>
      <c r="B124">
        <v>30</v>
      </c>
      <c r="C124" s="1">
        <v>46016</v>
      </c>
      <c r="D124" t="s">
        <v>41</v>
      </c>
      <c r="E124" t="s">
        <v>43</v>
      </c>
      <c r="F124">
        <v>7</v>
      </c>
      <c r="G124">
        <v>30</v>
      </c>
      <c r="H124" t="s">
        <v>117</v>
      </c>
      <c r="I124" t="s">
        <v>86</v>
      </c>
      <c r="J124" t="s">
        <v>87</v>
      </c>
      <c r="K124" t="s">
        <v>66</v>
      </c>
      <c r="L124" s="1">
        <v>45485</v>
      </c>
      <c r="M124">
        <v>123</v>
      </c>
      <c r="N124">
        <v>1049</v>
      </c>
      <c r="O124">
        <v>4</v>
      </c>
      <c r="P124">
        <v>3</v>
      </c>
      <c r="Q124">
        <v>2199</v>
      </c>
      <c r="R124">
        <v>0</v>
      </c>
      <c r="S124">
        <v>6597</v>
      </c>
      <c r="T124">
        <v>4</v>
      </c>
      <c r="U124" t="s">
        <v>9</v>
      </c>
      <c r="V124" t="s">
        <v>6</v>
      </c>
      <c r="W124">
        <v>2199</v>
      </c>
      <c r="X124">
        <v>1250</v>
      </c>
    </row>
    <row r="125" spans="1:24" x14ac:dyDescent="0.3">
      <c r="A125">
        <v>1050</v>
      </c>
      <c r="B125">
        <v>38</v>
      </c>
      <c r="C125" s="1">
        <v>45671</v>
      </c>
      <c r="D125" t="s">
        <v>41</v>
      </c>
      <c r="E125" t="s">
        <v>49</v>
      </c>
      <c r="F125">
        <v>5</v>
      </c>
      <c r="G125">
        <v>38</v>
      </c>
      <c r="H125" t="s">
        <v>125</v>
      </c>
      <c r="I125" t="s">
        <v>103</v>
      </c>
      <c r="J125" t="s">
        <v>81</v>
      </c>
      <c r="K125" t="s">
        <v>62</v>
      </c>
      <c r="L125" s="1">
        <v>45704</v>
      </c>
      <c r="M125">
        <v>124</v>
      </c>
      <c r="N125">
        <v>1050</v>
      </c>
      <c r="O125">
        <v>7</v>
      </c>
      <c r="P125">
        <v>2</v>
      </c>
      <c r="Q125">
        <v>999</v>
      </c>
      <c r="R125">
        <v>0.05</v>
      </c>
      <c r="S125">
        <v>1898</v>
      </c>
      <c r="T125">
        <v>7</v>
      </c>
      <c r="U125" t="s">
        <v>13</v>
      </c>
      <c r="V125" t="s">
        <v>14</v>
      </c>
      <c r="W125">
        <v>999</v>
      </c>
      <c r="X125">
        <v>480</v>
      </c>
    </row>
    <row r="126" spans="1:24" x14ac:dyDescent="0.3">
      <c r="A126">
        <v>1050</v>
      </c>
      <c r="B126">
        <v>38</v>
      </c>
      <c r="C126" s="1">
        <v>45671</v>
      </c>
      <c r="D126" t="s">
        <v>41</v>
      </c>
      <c r="E126" t="s">
        <v>49</v>
      </c>
      <c r="F126">
        <v>5</v>
      </c>
      <c r="G126">
        <v>38</v>
      </c>
      <c r="H126" t="s">
        <v>125</v>
      </c>
      <c r="I126" t="s">
        <v>103</v>
      </c>
      <c r="J126" t="s">
        <v>81</v>
      </c>
      <c r="K126" t="s">
        <v>62</v>
      </c>
      <c r="L126" s="1">
        <v>45704</v>
      </c>
      <c r="M126">
        <v>125</v>
      </c>
      <c r="N126">
        <v>1050</v>
      </c>
      <c r="O126">
        <v>3</v>
      </c>
      <c r="P126">
        <v>2</v>
      </c>
      <c r="Q126">
        <v>1799</v>
      </c>
      <c r="R126">
        <v>0.15</v>
      </c>
      <c r="S126">
        <v>3058</v>
      </c>
      <c r="T126">
        <v>3</v>
      </c>
      <c r="U126" t="s">
        <v>8</v>
      </c>
      <c r="V126" t="s">
        <v>6</v>
      </c>
      <c r="W126">
        <v>1799</v>
      </c>
      <c r="X126">
        <v>980</v>
      </c>
    </row>
    <row r="127" spans="1:24" x14ac:dyDescent="0.3">
      <c r="A127">
        <v>1050</v>
      </c>
      <c r="B127">
        <v>38</v>
      </c>
      <c r="C127" s="1">
        <v>45671</v>
      </c>
      <c r="D127" t="s">
        <v>41</v>
      </c>
      <c r="E127" t="s">
        <v>49</v>
      </c>
      <c r="F127">
        <v>5</v>
      </c>
      <c r="G127">
        <v>38</v>
      </c>
      <c r="H127" t="s">
        <v>125</v>
      </c>
      <c r="I127" t="s">
        <v>103</v>
      </c>
      <c r="J127" t="s">
        <v>81</v>
      </c>
      <c r="K127" t="s">
        <v>62</v>
      </c>
      <c r="L127" s="1">
        <v>45704</v>
      </c>
      <c r="M127">
        <v>126</v>
      </c>
      <c r="N127">
        <v>1050</v>
      </c>
      <c r="O127">
        <v>8</v>
      </c>
      <c r="P127">
        <v>2</v>
      </c>
      <c r="Q127">
        <v>299</v>
      </c>
      <c r="R127">
        <v>0.15</v>
      </c>
      <c r="S127">
        <v>508</v>
      </c>
      <c r="T127">
        <v>8</v>
      </c>
      <c r="U127" t="s">
        <v>15</v>
      </c>
      <c r="V127" t="s">
        <v>16</v>
      </c>
      <c r="W127">
        <v>299</v>
      </c>
      <c r="X127">
        <v>110</v>
      </c>
    </row>
    <row r="128" spans="1:24" x14ac:dyDescent="0.3">
      <c r="A128">
        <v>1050</v>
      </c>
      <c r="B128">
        <v>38</v>
      </c>
      <c r="C128" s="1">
        <v>45671</v>
      </c>
      <c r="D128" t="s">
        <v>41</v>
      </c>
      <c r="E128" t="s">
        <v>49</v>
      </c>
      <c r="F128">
        <v>5</v>
      </c>
      <c r="G128">
        <v>38</v>
      </c>
      <c r="H128" t="s">
        <v>125</v>
      </c>
      <c r="I128" t="s">
        <v>103</v>
      </c>
      <c r="J128" t="s">
        <v>81</v>
      </c>
      <c r="K128" t="s">
        <v>62</v>
      </c>
      <c r="L128" s="1">
        <v>45704</v>
      </c>
      <c r="M128">
        <v>127</v>
      </c>
      <c r="N128">
        <v>1050</v>
      </c>
      <c r="O128">
        <v>4</v>
      </c>
      <c r="P128">
        <v>2</v>
      </c>
      <c r="Q128">
        <v>2199</v>
      </c>
      <c r="R128">
        <v>0.05</v>
      </c>
      <c r="S128">
        <v>4178</v>
      </c>
      <c r="T128">
        <v>4</v>
      </c>
      <c r="U128" t="s">
        <v>9</v>
      </c>
      <c r="V128" t="s">
        <v>6</v>
      </c>
      <c r="W128">
        <v>2199</v>
      </c>
      <c r="X128">
        <v>1250</v>
      </c>
    </row>
    <row r="129" spans="1:24" x14ac:dyDescent="0.3">
      <c r="A129">
        <v>1051</v>
      </c>
      <c r="B129">
        <v>35</v>
      </c>
      <c r="C129" s="1">
        <v>45877</v>
      </c>
      <c r="D129" t="s">
        <v>44</v>
      </c>
      <c r="E129" t="s">
        <v>46</v>
      </c>
      <c r="F129">
        <v>3</v>
      </c>
      <c r="G129">
        <v>35</v>
      </c>
      <c r="H129" t="s">
        <v>122</v>
      </c>
      <c r="I129" t="s">
        <v>97</v>
      </c>
      <c r="J129" t="s">
        <v>72</v>
      </c>
      <c r="K129" t="s">
        <v>62</v>
      </c>
      <c r="L129" s="1">
        <v>45211</v>
      </c>
      <c r="M129">
        <v>128</v>
      </c>
      <c r="N129">
        <v>1051</v>
      </c>
      <c r="O129">
        <v>1</v>
      </c>
      <c r="P129">
        <v>1</v>
      </c>
      <c r="Q129">
        <v>799</v>
      </c>
      <c r="R129">
        <v>0.05</v>
      </c>
      <c r="S129">
        <v>759</v>
      </c>
      <c r="T129">
        <v>1</v>
      </c>
      <c r="U129" t="s">
        <v>5</v>
      </c>
      <c r="V129" t="s">
        <v>6</v>
      </c>
      <c r="W129">
        <v>799</v>
      </c>
      <c r="X129">
        <v>420</v>
      </c>
    </row>
    <row r="130" spans="1:24" x14ac:dyDescent="0.3">
      <c r="A130">
        <v>1051</v>
      </c>
      <c r="B130">
        <v>35</v>
      </c>
      <c r="C130" s="1">
        <v>45877</v>
      </c>
      <c r="D130" t="s">
        <v>44</v>
      </c>
      <c r="E130" t="s">
        <v>46</v>
      </c>
      <c r="F130">
        <v>3</v>
      </c>
      <c r="G130">
        <v>35</v>
      </c>
      <c r="H130" t="s">
        <v>122</v>
      </c>
      <c r="I130" t="s">
        <v>97</v>
      </c>
      <c r="J130" t="s">
        <v>72</v>
      </c>
      <c r="K130" t="s">
        <v>62</v>
      </c>
      <c r="L130" s="1">
        <v>45211</v>
      </c>
      <c r="M130">
        <v>129</v>
      </c>
      <c r="N130">
        <v>1051</v>
      </c>
      <c r="O130">
        <v>14</v>
      </c>
      <c r="P130">
        <v>1</v>
      </c>
      <c r="Q130">
        <v>2499</v>
      </c>
      <c r="R130">
        <v>0.1</v>
      </c>
      <c r="S130">
        <v>2249</v>
      </c>
      <c r="T130">
        <v>14</v>
      </c>
      <c r="U130" t="s">
        <v>23</v>
      </c>
      <c r="V130" t="s">
        <v>6</v>
      </c>
      <c r="W130">
        <v>2499</v>
      </c>
      <c r="X130">
        <v>1500</v>
      </c>
    </row>
    <row r="131" spans="1:24" x14ac:dyDescent="0.3">
      <c r="A131">
        <v>1051</v>
      </c>
      <c r="B131">
        <v>35</v>
      </c>
      <c r="C131" s="1">
        <v>45877</v>
      </c>
      <c r="D131" t="s">
        <v>44</v>
      </c>
      <c r="E131" t="s">
        <v>46</v>
      </c>
      <c r="F131">
        <v>3</v>
      </c>
      <c r="G131">
        <v>35</v>
      </c>
      <c r="H131" t="s">
        <v>122</v>
      </c>
      <c r="I131" t="s">
        <v>97</v>
      </c>
      <c r="J131" t="s">
        <v>72</v>
      </c>
      <c r="K131" t="s">
        <v>62</v>
      </c>
      <c r="L131" s="1">
        <v>45211</v>
      </c>
      <c r="M131">
        <v>130</v>
      </c>
      <c r="N131">
        <v>1051</v>
      </c>
      <c r="O131">
        <v>16</v>
      </c>
      <c r="P131">
        <v>2</v>
      </c>
      <c r="Q131">
        <v>1599</v>
      </c>
      <c r="R131">
        <v>0.1</v>
      </c>
      <c r="S131">
        <v>2878</v>
      </c>
      <c r="T131">
        <v>16</v>
      </c>
      <c r="U131" t="s">
        <v>25</v>
      </c>
      <c r="V131" t="s">
        <v>6</v>
      </c>
      <c r="W131">
        <v>1599</v>
      </c>
      <c r="X131">
        <v>900</v>
      </c>
    </row>
    <row r="132" spans="1:24" x14ac:dyDescent="0.3">
      <c r="A132">
        <v>1052</v>
      </c>
      <c r="B132">
        <v>12</v>
      </c>
      <c r="C132" s="1">
        <v>45925</v>
      </c>
      <c r="D132" t="s">
        <v>44</v>
      </c>
      <c r="E132" t="s">
        <v>45</v>
      </c>
      <c r="F132">
        <v>3</v>
      </c>
      <c r="G132">
        <v>12</v>
      </c>
      <c r="H132" t="s">
        <v>90</v>
      </c>
      <c r="I132" t="s">
        <v>91</v>
      </c>
      <c r="J132" t="s">
        <v>61</v>
      </c>
      <c r="K132" t="s">
        <v>66</v>
      </c>
      <c r="L132" s="1">
        <v>45685</v>
      </c>
      <c r="M132">
        <v>131</v>
      </c>
      <c r="N132">
        <v>1052</v>
      </c>
      <c r="O132">
        <v>15</v>
      </c>
      <c r="P132">
        <v>2</v>
      </c>
      <c r="Q132">
        <v>349</v>
      </c>
      <c r="R132">
        <v>0</v>
      </c>
      <c r="S132">
        <v>698</v>
      </c>
      <c r="T132">
        <v>15</v>
      </c>
      <c r="U132" t="s">
        <v>24</v>
      </c>
      <c r="V132" t="s">
        <v>11</v>
      </c>
      <c r="W132">
        <v>349</v>
      </c>
      <c r="X132">
        <v>120</v>
      </c>
    </row>
    <row r="133" spans="1:24" x14ac:dyDescent="0.3">
      <c r="A133">
        <v>1052</v>
      </c>
      <c r="B133">
        <v>12</v>
      </c>
      <c r="C133" s="1">
        <v>45925</v>
      </c>
      <c r="D133" t="s">
        <v>44</v>
      </c>
      <c r="E133" t="s">
        <v>45</v>
      </c>
      <c r="F133">
        <v>3</v>
      </c>
      <c r="G133">
        <v>12</v>
      </c>
      <c r="H133" t="s">
        <v>90</v>
      </c>
      <c r="I133" t="s">
        <v>91</v>
      </c>
      <c r="J133" t="s">
        <v>61</v>
      </c>
      <c r="K133" t="s">
        <v>66</v>
      </c>
      <c r="L133" s="1">
        <v>45685</v>
      </c>
      <c r="M133">
        <v>132</v>
      </c>
      <c r="N133">
        <v>1052</v>
      </c>
      <c r="O133">
        <v>14</v>
      </c>
      <c r="P133">
        <v>1</v>
      </c>
      <c r="Q133">
        <v>2499</v>
      </c>
      <c r="R133">
        <v>0.1</v>
      </c>
      <c r="S133">
        <v>2249</v>
      </c>
      <c r="T133">
        <v>14</v>
      </c>
      <c r="U133" t="s">
        <v>23</v>
      </c>
      <c r="V133" t="s">
        <v>6</v>
      </c>
      <c r="W133">
        <v>2499</v>
      </c>
      <c r="X133">
        <v>1500</v>
      </c>
    </row>
    <row r="134" spans="1:24" x14ac:dyDescent="0.3">
      <c r="A134">
        <v>1052</v>
      </c>
      <c r="B134">
        <v>12</v>
      </c>
      <c r="C134" s="1">
        <v>45925</v>
      </c>
      <c r="D134" t="s">
        <v>44</v>
      </c>
      <c r="E134" t="s">
        <v>45</v>
      </c>
      <c r="F134">
        <v>3</v>
      </c>
      <c r="G134">
        <v>12</v>
      </c>
      <c r="H134" t="s">
        <v>90</v>
      </c>
      <c r="I134" t="s">
        <v>91</v>
      </c>
      <c r="J134" t="s">
        <v>61</v>
      </c>
      <c r="K134" t="s">
        <v>66</v>
      </c>
      <c r="L134" s="1">
        <v>45685</v>
      </c>
      <c r="M134">
        <v>133</v>
      </c>
      <c r="N134">
        <v>1052</v>
      </c>
      <c r="O134">
        <v>9</v>
      </c>
      <c r="P134">
        <v>1</v>
      </c>
      <c r="Q134">
        <v>199</v>
      </c>
      <c r="R134">
        <v>0.1</v>
      </c>
      <c r="S134">
        <v>179</v>
      </c>
      <c r="T134">
        <v>9</v>
      </c>
      <c r="U134" t="s">
        <v>17</v>
      </c>
      <c r="V134" t="s">
        <v>16</v>
      </c>
      <c r="W134">
        <v>199</v>
      </c>
      <c r="X134">
        <v>65</v>
      </c>
    </row>
    <row r="135" spans="1:24" x14ac:dyDescent="0.3">
      <c r="A135">
        <v>1052</v>
      </c>
      <c r="B135">
        <v>12</v>
      </c>
      <c r="C135" s="1">
        <v>45925</v>
      </c>
      <c r="D135" t="s">
        <v>44</v>
      </c>
      <c r="E135" t="s">
        <v>45</v>
      </c>
      <c r="F135">
        <v>3</v>
      </c>
      <c r="G135">
        <v>12</v>
      </c>
      <c r="H135" t="s">
        <v>90</v>
      </c>
      <c r="I135" t="s">
        <v>91</v>
      </c>
      <c r="J135" t="s">
        <v>61</v>
      </c>
      <c r="K135" t="s">
        <v>66</v>
      </c>
      <c r="L135" s="1">
        <v>45685</v>
      </c>
      <c r="M135">
        <v>134</v>
      </c>
      <c r="N135">
        <v>1052</v>
      </c>
      <c r="O135">
        <v>11</v>
      </c>
      <c r="P135">
        <v>1</v>
      </c>
      <c r="Q135">
        <v>1099</v>
      </c>
      <c r="R135">
        <v>0.2</v>
      </c>
      <c r="S135">
        <v>879</v>
      </c>
      <c r="T135">
        <v>11</v>
      </c>
      <c r="U135" t="s">
        <v>20</v>
      </c>
      <c r="V135" t="s">
        <v>19</v>
      </c>
      <c r="W135">
        <v>1099</v>
      </c>
      <c r="X135">
        <v>570</v>
      </c>
    </row>
    <row r="136" spans="1:24" x14ac:dyDescent="0.3">
      <c r="A136">
        <v>1053</v>
      </c>
      <c r="B136">
        <v>25</v>
      </c>
      <c r="C136" s="1">
        <v>45830</v>
      </c>
      <c r="D136" t="s">
        <v>41</v>
      </c>
      <c r="E136" t="s">
        <v>43</v>
      </c>
      <c r="F136">
        <v>4</v>
      </c>
      <c r="G136">
        <v>25</v>
      </c>
      <c r="H136" t="s">
        <v>112</v>
      </c>
      <c r="I136" t="s">
        <v>71</v>
      </c>
      <c r="J136" t="s">
        <v>72</v>
      </c>
      <c r="K136" t="s">
        <v>58</v>
      </c>
      <c r="L136" s="1">
        <v>45501</v>
      </c>
      <c r="M136">
        <v>135</v>
      </c>
      <c r="N136">
        <v>1053</v>
      </c>
      <c r="O136">
        <v>16</v>
      </c>
      <c r="P136">
        <v>1</v>
      </c>
      <c r="Q136">
        <v>1599</v>
      </c>
      <c r="R136">
        <v>0.05</v>
      </c>
      <c r="S136">
        <v>1519</v>
      </c>
      <c r="T136">
        <v>16</v>
      </c>
      <c r="U136" t="s">
        <v>25</v>
      </c>
      <c r="V136" t="s">
        <v>6</v>
      </c>
      <c r="W136">
        <v>1599</v>
      </c>
      <c r="X136">
        <v>900</v>
      </c>
    </row>
    <row r="137" spans="1:24" x14ac:dyDescent="0.3">
      <c r="A137">
        <v>1053</v>
      </c>
      <c r="B137">
        <v>25</v>
      </c>
      <c r="C137" s="1">
        <v>45830</v>
      </c>
      <c r="D137" t="s">
        <v>41</v>
      </c>
      <c r="E137" t="s">
        <v>43</v>
      </c>
      <c r="F137">
        <v>4</v>
      </c>
      <c r="G137">
        <v>25</v>
      </c>
      <c r="H137" t="s">
        <v>112</v>
      </c>
      <c r="I137" t="s">
        <v>71</v>
      </c>
      <c r="J137" t="s">
        <v>72</v>
      </c>
      <c r="K137" t="s">
        <v>58</v>
      </c>
      <c r="L137" s="1">
        <v>45501</v>
      </c>
      <c r="M137">
        <v>136</v>
      </c>
      <c r="N137">
        <v>1053</v>
      </c>
      <c r="O137">
        <v>7</v>
      </c>
      <c r="P137">
        <v>1</v>
      </c>
      <c r="Q137">
        <v>999</v>
      </c>
      <c r="R137">
        <v>0.15</v>
      </c>
      <c r="S137">
        <v>849</v>
      </c>
      <c r="T137">
        <v>7</v>
      </c>
      <c r="U137" t="s">
        <v>13</v>
      </c>
      <c r="V137" t="s">
        <v>14</v>
      </c>
      <c r="W137">
        <v>999</v>
      </c>
      <c r="X137">
        <v>480</v>
      </c>
    </row>
    <row r="138" spans="1:24" x14ac:dyDescent="0.3">
      <c r="A138">
        <v>1054</v>
      </c>
      <c r="B138">
        <v>18</v>
      </c>
      <c r="C138" s="1">
        <v>45942</v>
      </c>
      <c r="D138" t="s">
        <v>41</v>
      </c>
      <c r="E138" t="s">
        <v>42</v>
      </c>
      <c r="F138">
        <v>5</v>
      </c>
      <c r="G138">
        <v>18</v>
      </c>
      <c r="H138" t="s">
        <v>102</v>
      </c>
      <c r="I138" t="s">
        <v>103</v>
      </c>
      <c r="J138" t="s">
        <v>81</v>
      </c>
      <c r="K138" t="s">
        <v>66</v>
      </c>
      <c r="L138" s="1">
        <v>44957</v>
      </c>
      <c r="M138">
        <v>137</v>
      </c>
      <c r="N138">
        <v>1054</v>
      </c>
      <c r="O138">
        <v>8</v>
      </c>
      <c r="P138">
        <v>2</v>
      </c>
      <c r="Q138">
        <v>299</v>
      </c>
      <c r="R138">
        <v>0.1</v>
      </c>
      <c r="S138">
        <v>538</v>
      </c>
      <c r="T138">
        <v>8</v>
      </c>
      <c r="U138" t="s">
        <v>15</v>
      </c>
      <c r="V138" t="s">
        <v>16</v>
      </c>
      <c r="W138">
        <v>299</v>
      </c>
      <c r="X138">
        <v>110</v>
      </c>
    </row>
    <row r="139" spans="1:24" x14ac:dyDescent="0.3">
      <c r="A139">
        <v>1055</v>
      </c>
      <c r="B139">
        <v>36</v>
      </c>
      <c r="C139" s="1">
        <v>45781</v>
      </c>
      <c r="D139" t="s">
        <v>44</v>
      </c>
      <c r="E139" t="s">
        <v>49</v>
      </c>
      <c r="F139">
        <v>4</v>
      </c>
      <c r="G139">
        <v>36</v>
      </c>
      <c r="H139" t="s">
        <v>123</v>
      </c>
      <c r="I139" t="s">
        <v>99</v>
      </c>
      <c r="J139" t="s">
        <v>75</v>
      </c>
      <c r="K139" t="s">
        <v>66</v>
      </c>
      <c r="L139" s="1">
        <v>45755</v>
      </c>
      <c r="M139">
        <v>138</v>
      </c>
      <c r="N139">
        <v>1055</v>
      </c>
      <c r="O139">
        <v>1</v>
      </c>
      <c r="P139">
        <v>1</v>
      </c>
      <c r="Q139">
        <v>799</v>
      </c>
      <c r="R139">
        <v>0</v>
      </c>
      <c r="S139">
        <v>799</v>
      </c>
      <c r="T139">
        <v>1</v>
      </c>
      <c r="U139" t="s">
        <v>5</v>
      </c>
      <c r="V139" t="s">
        <v>6</v>
      </c>
      <c r="W139">
        <v>799</v>
      </c>
      <c r="X139">
        <v>420</v>
      </c>
    </row>
    <row r="140" spans="1:24" x14ac:dyDescent="0.3">
      <c r="A140">
        <v>1055</v>
      </c>
      <c r="B140">
        <v>36</v>
      </c>
      <c r="C140" s="1">
        <v>45781</v>
      </c>
      <c r="D140" t="s">
        <v>44</v>
      </c>
      <c r="E140" t="s">
        <v>49</v>
      </c>
      <c r="F140">
        <v>4</v>
      </c>
      <c r="G140">
        <v>36</v>
      </c>
      <c r="H140" t="s">
        <v>123</v>
      </c>
      <c r="I140" t="s">
        <v>99</v>
      </c>
      <c r="J140" t="s">
        <v>75</v>
      </c>
      <c r="K140" t="s">
        <v>66</v>
      </c>
      <c r="L140" s="1">
        <v>45755</v>
      </c>
      <c r="M140">
        <v>139</v>
      </c>
      <c r="N140">
        <v>1055</v>
      </c>
      <c r="O140">
        <v>3</v>
      </c>
      <c r="P140">
        <v>1</v>
      </c>
      <c r="Q140">
        <v>1799</v>
      </c>
      <c r="R140">
        <v>0.15</v>
      </c>
      <c r="S140">
        <v>1529</v>
      </c>
      <c r="T140">
        <v>3</v>
      </c>
      <c r="U140" t="s">
        <v>8</v>
      </c>
      <c r="V140" t="s">
        <v>6</v>
      </c>
      <c r="W140">
        <v>1799</v>
      </c>
      <c r="X140">
        <v>980</v>
      </c>
    </row>
    <row r="141" spans="1:24" x14ac:dyDescent="0.3">
      <c r="A141">
        <v>1055</v>
      </c>
      <c r="B141">
        <v>36</v>
      </c>
      <c r="C141" s="1">
        <v>45781</v>
      </c>
      <c r="D141" t="s">
        <v>44</v>
      </c>
      <c r="E141" t="s">
        <v>49</v>
      </c>
      <c r="F141">
        <v>4</v>
      </c>
      <c r="G141">
        <v>36</v>
      </c>
      <c r="H141" t="s">
        <v>123</v>
      </c>
      <c r="I141" t="s">
        <v>99</v>
      </c>
      <c r="J141" t="s">
        <v>75</v>
      </c>
      <c r="K141" t="s">
        <v>66</v>
      </c>
      <c r="L141" s="1">
        <v>45755</v>
      </c>
      <c r="M141">
        <v>140</v>
      </c>
      <c r="N141">
        <v>1055</v>
      </c>
      <c r="O141">
        <v>10</v>
      </c>
      <c r="P141">
        <v>1</v>
      </c>
      <c r="Q141">
        <v>599</v>
      </c>
      <c r="R141">
        <v>0.15</v>
      </c>
      <c r="S141">
        <v>509</v>
      </c>
      <c r="T141">
        <v>10</v>
      </c>
      <c r="U141" t="s">
        <v>18</v>
      </c>
      <c r="V141" t="s">
        <v>19</v>
      </c>
      <c r="W141">
        <v>599</v>
      </c>
      <c r="X141">
        <v>260</v>
      </c>
    </row>
    <row r="142" spans="1:24" x14ac:dyDescent="0.3">
      <c r="A142">
        <v>1055</v>
      </c>
      <c r="B142">
        <v>36</v>
      </c>
      <c r="C142" s="1">
        <v>45781</v>
      </c>
      <c r="D142" t="s">
        <v>44</v>
      </c>
      <c r="E142" t="s">
        <v>49</v>
      </c>
      <c r="F142">
        <v>4</v>
      </c>
      <c r="G142">
        <v>36</v>
      </c>
      <c r="H142" t="s">
        <v>123</v>
      </c>
      <c r="I142" t="s">
        <v>99</v>
      </c>
      <c r="J142" t="s">
        <v>75</v>
      </c>
      <c r="K142" t="s">
        <v>66</v>
      </c>
      <c r="L142" s="1">
        <v>45755</v>
      </c>
      <c r="M142">
        <v>141</v>
      </c>
      <c r="N142">
        <v>1055</v>
      </c>
      <c r="O142">
        <v>8</v>
      </c>
      <c r="P142">
        <v>1</v>
      </c>
      <c r="Q142">
        <v>299</v>
      </c>
      <c r="R142">
        <v>0.1</v>
      </c>
      <c r="S142">
        <v>269</v>
      </c>
      <c r="T142">
        <v>8</v>
      </c>
      <c r="U142" t="s">
        <v>15</v>
      </c>
      <c r="V142" t="s">
        <v>16</v>
      </c>
      <c r="W142">
        <v>299</v>
      </c>
      <c r="X142">
        <v>110</v>
      </c>
    </row>
    <row r="143" spans="1:24" x14ac:dyDescent="0.3">
      <c r="A143">
        <v>1056</v>
      </c>
      <c r="B143">
        <v>36</v>
      </c>
      <c r="C143" s="1">
        <v>45827</v>
      </c>
      <c r="D143" t="s">
        <v>41</v>
      </c>
      <c r="E143" t="s">
        <v>49</v>
      </c>
      <c r="F143">
        <v>6</v>
      </c>
      <c r="G143">
        <v>36</v>
      </c>
      <c r="H143" t="s">
        <v>123</v>
      </c>
      <c r="I143" t="s">
        <v>99</v>
      </c>
      <c r="J143" t="s">
        <v>75</v>
      </c>
      <c r="K143" t="s">
        <v>66</v>
      </c>
      <c r="L143" s="1">
        <v>45755</v>
      </c>
      <c r="M143">
        <v>142</v>
      </c>
      <c r="N143">
        <v>1056</v>
      </c>
      <c r="O143">
        <v>10</v>
      </c>
      <c r="P143">
        <v>1</v>
      </c>
      <c r="Q143">
        <v>599</v>
      </c>
      <c r="R143">
        <v>0</v>
      </c>
      <c r="S143">
        <v>599</v>
      </c>
      <c r="T143">
        <v>10</v>
      </c>
      <c r="U143" t="s">
        <v>18</v>
      </c>
      <c r="V143" t="s">
        <v>19</v>
      </c>
      <c r="W143">
        <v>599</v>
      </c>
      <c r="X143">
        <v>260</v>
      </c>
    </row>
    <row r="144" spans="1:24" x14ac:dyDescent="0.3">
      <c r="A144">
        <v>1056</v>
      </c>
      <c r="B144">
        <v>36</v>
      </c>
      <c r="C144" s="1">
        <v>45827</v>
      </c>
      <c r="D144" t="s">
        <v>41</v>
      </c>
      <c r="E144" t="s">
        <v>49</v>
      </c>
      <c r="F144">
        <v>6</v>
      </c>
      <c r="G144">
        <v>36</v>
      </c>
      <c r="H144" t="s">
        <v>123</v>
      </c>
      <c r="I144" t="s">
        <v>99</v>
      </c>
      <c r="J144" t="s">
        <v>75</v>
      </c>
      <c r="K144" t="s">
        <v>66</v>
      </c>
      <c r="L144" s="1">
        <v>45755</v>
      </c>
      <c r="M144">
        <v>143</v>
      </c>
      <c r="N144">
        <v>1056</v>
      </c>
      <c r="O144">
        <v>9</v>
      </c>
      <c r="P144">
        <v>1</v>
      </c>
      <c r="Q144">
        <v>199</v>
      </c>
      <c r="R144">
        <v>0.2</v>
      </c>
      <c r="S144">
        <v>159</v>
      </c>
      <c r="T144">
        <v>9</v>
      </c>
      <c r="U144" t="s">
        <v>17</v>
      </c>
      <c r="V144" t="s">
        <v>16</v>
      </c>
      <c r="W144">
        <v>199</v>
      </c>
      <c r="X144">
        <v>65</v>
      </c>
    </row>
    <row r="145" spans="1:24" x14ac:dyDescent="0.3">
      <c r="A145">
        <v>1056</v>
      </c>
      <c r="B145">
        <v>36</v>
      </c>
      <c r="C145" s="1">
        <v>45827</v>
      </c>
      <c r="D145" t="s">
        <v>41</v>
      </c>
      <c r="E145" t="s">
        <v>49</v>
      </c>
      <c r="F145">
        <v>6</v>
      </c>
      <c r="G145">
        <v>36</v>
      </c>
      <c r="H145" t="s">
        <v>123</v>
      </c>
      <c r="I145" t="s">
        <v>99</v>
      </c>
      <c r="J145" t="s">
        <v>75</v>
      </c>
      <c r="K145" t="s">
        <v>66</v>
      </c>
      <c r="L145" s="1">
        <v>45755</v>
      </c>
      <c r="M145">
        <v>144</v>
      </c>
      <c r="N145">
        <v>1056</v>
      </c>
      <c r="O145">
        <v>8</v>
      </c>
      <c r="P145">
        <v>1</v>
      </c>
      <c r="Q145">
        <v>299</v>
      </c>
      <c r="R145">
        <v>0.2</v>
      </c>
      <c r="S145">
        <v>239</v>
      </c>
      <c r="T145">
        <v>8</v>
      </c>
      <c r="U145" t="s">
        <v>15</v>
      </c>
      <c r="V145" t="s">
        <v>16</v>
      </c>
      <c r="W145">
        <v>299</v>
      </c>
      <c r="X145">
        <v>110</v>
      </c>
    </row>
    <row r="146" spans="1:24" x14ac:dyDescent="0.3">
      <c r="A146">
        <v>1057</v>
      </c>
      <c r="B146">
        <v>12</v>
      </c>
      <c r="C146" s="1">
        <v>45756</v>
      </c>
      <c r="D146" t="s">
        <v>41</v>
      </c>
      <c r="E146" t="s">
        <v>49</v>
      </c>
      <c r="F146">
        <v>6</v>
      </c>
      <c r="G146">
        <v>12</v>
      </c>
      <c r="H146" t="s">
        <v>90</v>
      </c>
      <c r="I146" t="s">
        <v>91</v>
      </c>
      <c r="J146" t="s">
        <v>61</v>
      </c>
      <c r="K146" t="s">
        <v>66</v>
      </c>
      <c r="L146" s="1">
        <v>45685</v>
      </c>
      <c r="M146">
        <v>145</v>
      </c>
      <c r="N146">
        <v>1057</v>
      </c>
      <c r="O146">
        <v>19</v>
      </c>
      <c r="P146">
        <v>3</v>
      </c>
      <c r="Q146">
        <v>499</v>
      </c>
      <c r="R146">
        <v>0</v>
      </c>
      <c r="S146">
        <v>1497</v>
      </c>
      <c r="T146">
        <v>19</v>
      </c>
      <c r="U146" t="s">
        <v>28</v>
      </c>
      <c r="V146" t="s">
        <v>11</v>
      </c>
      <c r="W146">
        <v>499</v>
      </c>
      <c r="X146">
        <v>220</v>
      </c>
    </row>
    <row r="147" spans="1:24" x14ac:dyDescent="0.3">
      <c r="A147">
        <v>1057</v>
      </c>
      <c r="B147">
        <v>12</v>
      </c>
      <c r="C147" s="1">
        <v>45756</v>
      </c>
      <c r="D147" t="s">
        <v>41</v>
      </c>
      <c r="E147" t="s">
        <v>49</v>
      </c>
      <c r="F147">
        <v>6</v>
      </c>
      <c r="G147">
        <v>12</v>
      </c>
      <c r="H147" t="s">
        <v>90</v>
      </c>
      <c r="I147" t="s">
        <v>91</v>
      </c>
      <c r="J147" t="s">
        <v>61</v>
      </c>
      <c r="K147" t="s">
        <v>66</v>
      </c>
      <c r="L147" s="1">
        <v>45685</v>
      </c>
      <c r="M147">
        <v>146</v>
      </c>
      <c r="N147">
        <v>1057</v>
      </c>
      <c r="O147">
        <v>17</v>
      </c>
      <c r="P147">
        <v>1</v>
      </c>
      <c r="Q147">
        <v>8499</v>
      </c>
      <c r="R147">
        <v>0.05</v>
      </c>
      <c r="S147">
        <v>8074</v>
      </c>
      <c r="T147">
        <v>17</v>
      </c>
      <c r="U147" t="s">
        <v>26</v>
      </c>
      <c r="V147" t="s">
        <v>14</v>
      </c>
      <c r="W147">
        <v>8499</v>
      </c>
      <c r="X147">
        <v>6100</v>
      </c>
    </row>
    <row r="148" spans="1:24" x14ac:dyDescent="0.3">
      <c r="A148">
        <v>1057</v>
      </c>
      <c r="B148">
        <v>12</v>
      </c>
      <c r="C148" s="1">
        <v>45756</v>
      </c>
      <c r="D148" t="s">
        <v>41</v>
      </c>
      <c r="E148" t="s">
        <v>49</v>
      </c>
      <c r="F148">
        <v>6</v>
      </c>
      <c r="G148">
        <v>12</v>
      </c>
      <c r="H148" t="s">
        <v>90</v>
      </c>
      <c r="I148" t="s">
        <v>91</v>
      </c>
      <c r="J148" t="s">
        <v>61</v>
      </c>
      <c r="K148" t="s">
        <v>66</v>
      </c>
      <c r="L148" s="1">
        <v>45685</v>
      </c>
      <c r="M148">
        <v>147</v>
      </c>
      <c r="N148">
        <v>1057</v>
      </c>
      <c r="O148">
        <v>10</v>
      </c>
      <c r="P148">
        <v>1</v>
      </c>
      <c r="Q148">
        <v>599</v>
      </c>
      <c r="R148">
        <v>0</v>
      </c>
      <c r="S148">
        <v>599</v>
      </c>
      <c r="T148">
        <v>10</v>
      </c>
      <c r="U148" t="s">
        <v>18</v>
      </c>
      <c r="V148" t="s">
        <v>19</v>
      </c>
      <c r="W148">
        <v>599</v>
      </c>
      <c r="X148">
        <v>260</v>
      </c>
    </row>
    <row r="149" spans="1:24" x14ac:dyDescent="0.3">
      <c r="A149">
        <v>1058</v>
      </c>
      <c r="B149">
        <v>35</v>
      </c>
      <c r="C149" s="1">
        <v>45722</v>
      </c>
      <c r="D149" t="s">
        <v>41</v>
      </c>
      <c r="E149" t="s">
        <v>46</v>
      </c>
      <c r="F149">
        <v>1</v>
      </c>
      <c r="G149">
        <v>35</v>
      </c>
      <c r="H149" t="s">
        <v>122</v>
      </c>
      <c r="I149" t="s">
        <v>97</v>
      </c>
      <c r="J149" t="s">
        <v>72</v>
      </c>
      <c r="K149" t="s">
        <v>62</v>
      </c>
      <c r="L149" s="1">
        <v>45211</v>
      </c>
      <c r="M149">
        <v>148</v>
      </c>
      <c r="N149">
        <v>1058</v>
      </c>
      <c r="O149">
        <v>5</v>
      </c>
      <c r="P149">
        <v>2</v>
      </c>
      <c r="Q149">
        <v>1299</v>
      </c>
      <c r="R149">
        <v>0.15</v>
      </c>
      <c r="S149">
        <v>2208</v>
      </c>
      <c r="T149">
        <v>5</v>
      </c>
      <c r="U149" t="s">
        <v>10</v>
      </c>
      <c r="V149" t="s">
        <v>11</v>
      </c>
      <c r="W149">
        <v>1299</v>
      </c>
      <c r="X149">
        <v>650</v>
      </c>
    </row>
    <row r="150" spans="1:24" x14ac:dyDescent="0.3">
      <c r="A150">
        <v>1058</v>
      </c>
      <c r="B150">
        <v>35</v>
      </c>
      <c r="C150" s="1">
        <v>45722</v>
      </c>
      <c r="D150" t="s">
        <v>41</v>
      </c>
      <c r="E150" t="s">
        <v>46</v>
      </c>
      <c r="F150">
        <v>1</v>
      </c>
      <c r="G150">
        <v>35</v>
      </c>
      <c r="H150" t="s">
        <v>122</v>
      </c>
      <c r="I150" t="s">
        <v>97</v>
      </c>
      <c r="J150" t="s">
        <v>72</v>
      </c>
      <c r="K150" t="s">
        <v>62</v>
      </c>
      <c r="L150" s="1">
        <v>45211</v>
      </c>
      <c r="M150">
        <v>149</v>
      </c>
      <c r="N150">
        <v>1058</v>
      </c>
      <c r="O150">
        <v>16</v>
      </c>
      <c r="P150">
        <v>1</v>
      </c>
      <c r="Q150">
        <v>1599</v>
      </c>
      <c r="R150">
        <v>0.1</v>
      </c>
      <c r="S150">
        <v>1439</v>
      </c>
      <c r="T150">
        <v>16</v>
      </c>
      <c r="U150" t="s">
        <v>25</v>
      </c>
      <c r="V150" t="s">
        <v>6</v>
      </c>
      <c r="W150">
        <v>1599</v>
      </c>
      <c r="X150">
        <v>900</v>
      </c>
    </row>
    <row r="151" spans="1:24" x14ac:dyDescent="0.3">
      <c r="A151">
        <v>1058</v>
      </c>
      <c r="B151">
        <v>35</v>
      </c>
      <c r="C151" s="1">
        <v>45722</v>
      </c>
      <c r="D151" t="s">
        <v>41</v>
      </c>
      <c r="E151" t="s">
        <v>46</v>
      </c>
      <c r="F151">
        <v>1</v>
      </c>
      <c r="G151">
        <v>35</v>
      </c>
      <c r="H151" t="s">
        <v>122</v>
      </c>
      <c r="I151" t="s">
        <v>97</v>
      </c>
      <c r="J151" t="s">
        <v>72</v>
      </c>
      <c r="K151" t="s">
        <v>62</v>
      </c>
      <c r="L151" s="1">
        <v>45211</v>
      </c>
      <c r="M151">
        <v>150</v>
      </c>
      <c r="N151">
        <v>1058</v>
      </c>
      <c r="O151">
        <v>4</v>
      </c>
      <c r="P151">
        <v>1</v>
      </c>
      <c r="Q151">
        <v>2199</v>
      </c>
      <c r="R151">
        <v>0</v>
      </c>
      <c r="S151">
        <v>2199</v>
      </c>
      <c r="T151">
        <v>4</v>
      </c>
      <c r="U151" t="s">
        <v>9</v>
      </c>
      <c r="V151" t="s">
        <v>6</v>
      </c>
      <c r="W151">
        <v>2199</v>
      </c>
      <c r="X151">
        <v>1250</v>
      </c>
    </row>
    <row r="152" spans="1:24" x14ac:dyDescent="0.3">
      <c r="A152">
        <v>1059</v>
      </c>
      <c r="B152">
        <v>4</v>
      </c>
      <c r="C152" s="1">
        <v>45787</v>
      </c>
      <c r="D152" t="s">
        <v>47</v>
      </c>
      <c r="E152" t="s">
        <v>49</v>
      </c>
      <c r="F152">
        <v>0</v>
      </c>
      <c r="G152">
        <v>4</v>
      </c>
      <c r="H152" t="s">
        <v>67</v>
      </c>
      <c r="I152" t="s">
        <v>68</v>
      </c>
      <c r="J152" t="s">
        <v>69</v>
      </c>
      <c r="K152" t="s">
        <v>58</v>
      </c>
      <c r="L152" s="1">
        <v>45686</v>
      </c>
      <c r="M152">
        <v>151</v>
      </c>
      <c r="N152">
        <v>1059</v>
      </c>
      <c r="O152">
        <v>3</v>
      </c>
      <c r="P152">
        <v>1</v>
      </c>
      <c r="Q152">
        <v>1799</v>
      </c>
      <c r="R152">
        <v>0</v>
      </c>
      <c r="S152">
        <v>1799</v>
      </c>
      <c r="T152">
        <v>3</v>
      </c>
      <c r="U152" t="s">
        <v>8</v>
      </c>
      <c r="V152" t="s">
        <v>6</v>
      </c>
      <c r="W152">
        <v>1799</v>
      </c>
      <c r="X152">
        <v>980</v>
      </c>
    </row>
    <row r="153" spans="1:24" x14ac:dyDescent="0.3">
      <c r="A153">
        <v>1060</v>
      </c>
      <c r="B153">
        <v>37</v>
      </c>
      <c r="C153" s="1">
        <v>45980</v>
      </c>
      <c r="D153" t="s">
        <v>44</v>
      </c>
      <c r="E153" t="s">
        <v>42</v>
      </c>
      <c r="F153">
        <v>1</v>
      </c>
      <c r="G153">
        <v>37</v>
      </c>
      <c r="H153" t="s">
        <v>124</v>
      </c>
      <c r="I153" t="s">
        <v>101</v>
      </c>
      <c r="J153" t="s">
        <v>78</v>
      </c>
      <c r="K153" t="s">
        <v>58</v>
      </c>
      <c r="L153" s="1">
        <v>44933</v>
      </c>
      <c r="M153">
        <v>152</v>
      </c>
      <c r="N153">
        <v>1060</v>
      </c>
      <c r="O153">
        <v>19</v>
      </c>
      <c r="P153">
        <v>1</v>
      </c>
      <c r="Q153">
        <v>499</v>
      </c>
      <c r="R153">
        <v>0</v>
      </c>
      <c r="S153">
        <v>499</v>
      </c>
      <c r="T153">
        <v>19</v>
      </c>
      <c r="U153" t="s">
        <v>28</v>
      </c>
      <c r="V153" t="s">
        <v>11</v>
      </c>
      <c r="W153">
        <v>499</v>
      </c>
      <c r="X153">
        <v>220</v>
      </c>
    </row>
    <row r="154" spans="1:24" x14ac:dyDescent="0.3">
      <c r="A154">
        <v>1060</v>
      </c>
      <c r="B154">
        <v>37</v>
      </c>
      <c r="C154" s="1">
        <v>45980</v>
      </c>
      <c r="D154" t="s">
        <v>44</v>
      </c>
      <c r="E154" t="s">
        <v>42</v>
      </c>
      <c r="F154">
        <v>1</v>
      </c>
      <c r="G154">
        <v>37</v>
      </c>
      <c r="H154" t="s">
        <v>124</v>
      </c>
      <c r="I154" t="s">
        <v>101</v>
      </c>
      <c r="J154" t="s">
        <v>78</v>
      </c>
      <c r="K154" t="s">
        <v>58</v>
      </c>
      <c r="L154" s="1">
        <v>44933</v>
      </c>
      <c r="M154">
        <v>153</v>
      </c>
      <c r="N154">
        <v>1060</v>
      </c>
      <c r="O154">
        <v>10</v>
      </c>
      <c r="P154">
        <v>1</v>
      </c>
      <c r="Q154">
        <v>599</v>
      </c>
      <c r="R154">
        <v>0.1</v>
      </c>
      <c r="S154">
        <v>539</v>
      </c>
      <c r="T154">
        <v>10</v>
      </c>
      <c r="U154" t="s">
        <v>18</v>
      </c>
      <c r="V154" t="s">
        <v>19</v>
      </c>
      <c r="W154">
        <v>599</v>
      </c>
      <c r="X154">
        <v>260</v>
      </c>
    </row>
    <row r="155" spans="1:24" x14ac:dyDescent="0.3">
      <c r="A155">
        <v>1061</v>
      </c>
      <c r="B155">
        <v>39</v>
      </c>
      <c r="C155" s="1">
        <v>45963</v>
      </c>
      <c r="D155" t="s">
        <v>47</v>
      </c>
      <c r="E155" t="s">
        <v>45</v>
      </c>
      <c r="F155">
        <v>0</v>
      </c>
      <c r="G155">
        <v>39</v>
      </c>
      <c r="H155" t="s">
        <v>126</v>
      </c>
      <c r="I155" t="s">
        <v>105</v>
      </c>
      <c r="J155" t="s">
        <v>84</v>
      </c>
      <c r="K155" t="s">
        <v>66</v>
      </c>
      <c r="L155" s="1">
        <v>45752</v>
      </c>
      <c r="M155">
        <v>154</v>
      </c>
      <c r="N155">
        <v>1061</v>
      </c>
      <c r="O155">
        <v>17</v>
      </c>
      <c r="P155">
        <v>1</v>
      </c>
      <c r="Q155">
        <v>8499</v>
      </c>
      <c r="R155">
        <v>0.1</v>
      </c>
      <c r="S155">
        <v>7649</v>
      </c>
      <c r="T155">
        <v>17</v>
      </c>
      <c r="U155" t="s">
        <v>26</v>
      </c>
      <c r="V155" t="s">
        <v>14</v>
      </c>
      <c r="W155">
        <v>8499</v>
      </c>
      <c r="X155">
        <v>6100</v>
      </c>
    </row>
    <row r="156" spans="1:24" x14ac:dyDescent="0.3">
      <c r="A156">
        <v>1061</v>
      </c>
      <c r="B156">
        <v>39</v>
      </c>
      <c r="C156" s="1">
        <v>45963</v>
      </c>
      <c r="D156" t="s">
        <v>47</v>
      </c>
      <c r="E156" t="s">
        <v>45</v>
      </c>
      <c r="F156">
        <v>0</v>
      </c>
      <c r="G156">
        <v>39</v>
      </c>
      <c r="H156" t="s">
        <v>126</v>
      </c>
      <c r="I156" t="s">
        <v>105</v>
      </c>
      <c r="J156" t="s">
        <v>84</v>
      </c>
      <c r="K156" t="s">
        <v>66</v>
      </c>
      <c r="L156" s="1">
        <v>45752</v>
      </c>
      <c r="M156">
        <v>155</v>
      </c>
      <c r="N156">
        <v>1061</v>
      </c>
      <c r="O156">
        <v>13</v>
      </c>
      <c r="P156">
        <v>1</v>
      </c>
      <c r="Q156">
        <v>10999</v>
      </c>
      <c r="R156">
        <v>0.15</v>
      </c>
      <c r="S156">
        <v>9349</v>
      </c>
      <c r="T156">
        <v>13</v>
      </c>
      <c r="U156" t="s">
        <v>22</v>
      </c>
      <c r="V156" t="s">
        <v>6</v>
      </c>
      <c r="W156">
        <v>10999</v>
      </c>
      <c r="X156">
        <v>7900</v>
      </c>
    </row>
    <row r="157" spans="1:24" x14ac:dyDescent="0.3">
      <c r="A157">
        <v>1062</v>
      </c>
      <c r="B157">
        <v>28</v>
      </c>
      <c r="C157" s="1">
        <v>45814</v>
      </c>
      <c r="D157" t="s">
        <v>48</v>
      </c>
      <c r="E157" t="s">
        <v>45</v>
      </c>
      <c r="F157">
        <v>0</v>
      </c>
      <c r="G157">
        <v>28</v>
      </c>
      <c r="H157" t="s">
        <v>115</v>
      </c>
      <c r="I157" t="s">
        <v>80</v>
      </c>
      <c r="J157" t="s">
        <v>81</v>
      </c>
      <c r="K157" t="s">
        <v>58</v>
      </c>
      <c r="L157" s="1">
        <v>45592</v>
      </c>
      <c r="M157">
        <v>156</v>
      </c>
      <c r="N157">
        <v>1062</v>
      </c>
      <c r="O157">
        <v>20</v>
      </c>
      <c r="P157">
        <v>3</v>
      </c>
      <c r="Q157">
        <v>449</v>
      </c>
      <c r="R157">
        <v>0</v>
      </c>
      <c r="S157">
        <v>1347</v>
      </c>
      <c r="T157">
        <v>20</v>
      </c>
      <c r="U157" t="s">
        <v>29</v>
      </c>
      <c r="V157" t="s">
        <v>16</v>
      </c>
      <c r="W157">
        <v>449</v>
      </c>
      <c r="X157">
        <v>180</v>
      </c>
    </row>
    <row r="158" spans="1:24" x14ac:dyDescent="0.3">
      <c r="A158">
        <v>1063</v>
      </c>
      <c r="B158">
        <v>14</v>
      </c>
      <c r="C158" s="1">
        <v>45978</v>
      </c>
      <c r="D158" t="s">
        <v>41</v>
      </c>
      <c r="E158" t="s">
        <v>46</v>
      </c>
      <c r="F158">
        <v>3</v>
      </c>
      <c r="G158">
        <v>14</v>
      </c>
      <c r="H158" t="s">
        <v>94</v>
      </c>
      <c r="I158" t="s">
        <v>95</v>
      </c>
      <c r="J158" t="s">
        <v>69</v>
      </c>
      <c r="K158" t="s">
        <v>62</v>
      </c>
      <c r="L158" s="1">
        <v>45016</v>
      </c>
      <c r="M158">
        <v>157</v>
      </c>
      <c r="N158">
        <v>1063</v>
      </c>
      <c r="O158">
        <v>8</v>
      </c>
      <c r="P158">
        <v>1</v>
      </c>
      <c r="Q158">
        <v>299</v>
      </c>
      <c r="R158">
        <v>0</v>
      </c>
      <c r="S158">
        <v>299</v>
      </c>
      <c r="T158">
        <v>8</v>
      </c>
      <c r="U158" t="s">
        <v>15</v>
      </c>
      <c r="V158" t="s">
        <v>16</v>
      </c>
      <c r="W158">
        <v>299</v>
      </c>
      <c r="X158">
        <v>110</v>
      </c>
    </row>
    <row r="159" spans="1:24" x14ac:dyDescent="0.3">
      <c r="A159">
        <v>1063</v>
      </c>
      <c r="B159">
        <v>14</v>
      </c>
      <c r="C159" s="1">
        <v>45978</v>
      </c>
      <c r="D159" t="s">
        <v>41</v>
      </c>
      <c r="E159" t="s">
        <v>46</v>
      </c>
      <c r="F159">
        <v>3</v>
      </c>
      <c r="G159">
        <v>14</v>
      </c>
      <c r="H159" t="s">
        <v>94</v>
      </c>
      <c r="I159" t="s">
        <v>95</v>
      </c>
      <c r="J159" t="s">
        <v>69</v>
      </c>
      <c r="K159" t="s">
        <v>62</v>
      </c>
      <c r="L159" s="1">
        <v>45016</v>
      </c>
      <c r="M159">
        <v>158</v>
      </c>
      <c r="N159">
        <v>1063</v>
      </c>
      <c r="O159">
        <v>6</v>
      </c>
      <c r="P159">
        <v>1</v>
      </c>
      <c r="Q159">
        <v>1899</v>
      </c>
      <c r="R159">
        <v>0.1</v>
      </c>
      <c r="S159">
        <v>1709</v>
      </c>
      <c r="T159">
        <v>6</v>
      </c>
      <c r="U159" t="s">
        <v>12</v>
      </c>
      <c r="V159" t="s">
        <v>11</v>
      </c>
      <c r="W159">
        <v>1899</v>
      </c>
      <c r="X159">
        <v>950</v>
      </c>
    </row>
    <row r="160" spans="1:24" x14ac:dyDescent="0.3">
      <c r="A160">
        <v>1064</v>
      </c>
      <c r="B160">
        <v>39</v>
      </c>
      <c r="C160" s="1">
        <v>45898</v>
      </c>
      <c r="D160" t="s">
        <v>41</v>
      </c>
      <c r="E160" t="s">
        <v>42</v>
      </c>
      <c r="F160">
        <v>1</v>
      </c>
      <c r="G160">
        <v>39</v>
      </c>
      <c r="H160" t="s">
        <v>126</v>
      </c>
      <c r="I160" t="s">
        <v>105</v>
      </c>
      <c r="J160" t="s">
        <v>84</v>
      </c>
      <c r="K160" t="s">
        <v>66</v>
      </c>
      <c r="L160" s="1">
        <v>45752</v>
      </c>
      <c r="M160">
        <v>159</v>
      </c>
      <c r="N160">
        <v>1064</v>
      </c>
      <c r="O160">
        <v>10</v>
      </c>
      <c r="P160">
        <v>2</v>
      </c>
      <c r="Q160">
        <v>599</v>
      </c>
      <c r="R160">
        <v>0.05</v>
      </c>
      <c r="S160">
        <v>1138</v>
      </c>
      <c r="T160">
        <v>10</v>
      </c>
      <c r="U160" t="s">
        <v>18</v>
      </c>
      <c r="V160" t="s">
        <v>19</v>
      </c>
      <c r="W160">
        <v>599</v>
      </c>
      <c r="X160">
        <v>260</v>
      </c>
    </row>
    <row r="161" spans="1:24" x14ac:dyDescent="0.3">
      <c r="A161">
        <v>1064</v>
      </c>
      <c r="B161">
        <v>39</v>
      </c>
      <c r="C161" s="1">
        <v>45898</v>
      </c>
      <c r="D161" t="s">
        <v>41</v>
      </c>
      <c r="E161" t="s">
        <v>42</v>
      </c>
      <c r="F161">
        <v>1</v>
      </c>
      <c r="G161">
        <v>39</v>
      </c>
      <c r="H161" t="s">
        <v>126</v>
      </c>
      <c r="I161" t="s">
        <v>105</v>
      </c>
      <c r="J161" t="s">
        <v>84</v>
      </c>
      <c r="K161" t="s">
        <v>66</v>
      </c>
      <c r="L161" s="1">
        <v>45752</v>
      </c>
      <c r="M161">
        <v>160</v>
      </c>
      <c r="N161">
        <v>1064</v>
      </c>
      <c r="O161">
        <v>15</v>
      </c>
      <c r="P161">
        <v>2</v>
      </c>
      <c r="Q161">
        <v>349</v>
      </c>
      <c r="R161">
        <v>0.2</v>
      </c>
      <c r="S161">
        <v>558</v>
      </c>
      <c r="T161">
        <v>15</v>
      </c>
      <c r="U161" t="s">
        <v>24</v>
      </c>
      <c r="V161" t="s">
        <v>11</v>
      </c>
      <c r="W161">
        <v>349</v>
      </c>
      <c r="X161">
        <v>120</v>
      </c>
    </row>
    <row r="162" spans="1:24" x14ac:dyDescent="0.3">
      <c r="A162">
        <v>1064</v>
      </c>
      <c r="B162">
        <v>39</v>
      </c>
      <c r="C162" s="1">
        <v>45898</v>
      </c>
      <c r="D162" t="s">
        <v>41</v>
      </c>
      <c r="E162" t="s">
        <v>42</v>
      </c>
      <c r="F162">
        <v>1</v>
      </c>
      <c r="G162">
        <v>39</v>
      </c>
      <c r="H162" t="s">
        <v>126</v>
      </c>
      <c r="I162" t="s">
        <v>105</v>
      </c>
      <c r="J162" t="s">
        <v>84</v>
      </c>
      <c r="K162" t="s">
        <v>66</v>
      </c>
      <c r="L162" s="1">
        <v>45752</v>
      </c>
      <c r="M162">
        <v>161</v>
      </c>
      <c r="N162">
        <v>1064</v>
      </c>
      <c r="O162">
        <v>3</v>
      </c>
      <c r="P162">
        <v>1</v>
      </c>
      <c r="Q162">
        <v>1799</v>
      </c>
      <c r="R162">
        <v>0</v>
      </c>
      <c r="S162">
        <v>1799</v>
      </c>
      <c r="T162">
        <v>3</v>
      </c>
      <c r="U162" t="s">
        <v>8</v>
      </c>
      <c r="V162" t="s">
        <v>6</v>
      </c>
      <c r="W162">
        <v>1799</v>
      </c>
      <c r="X162">
        <v>980</v>
      </c>
    </row>
    <row r="163" spans="1:24" x14ac:dyDescent="0.3">
      <c r="A163">
        <v>1065</v>
      </c>
      <c r="B163">
        <v>28</v>
      </c>
      <c r="C163" s="1">
        <v>45716</v>
      </c>
      <c r="D163" t="s">
        <v>48</v>
      </c>
      <c r="E163" t="s">
        <v>42</v>
      </c>
      <c r="F163">
        <v>0</v>
      </c>
      <c r="G163">
        <v>28</v>
      </c>
      <c r="H163" t="s">
        <v>115</v>
      </c>
      <c r="I163" t="s">
        <v>80</v>
      </c>
      <c r="J163" t="s">
        <v>81</v>
      </c>
      <c r="K163" t="s">
        <v>58</v>
      </c>
      <c r="L163" s="1">
        <v>45592</v>
      </c>
      <c r="M163">
        <v>162</v>
      </c>
      <c r="N163">
        <v>1065</v>
      </c>
      <c r="O163">
        <v>9</v>
      </c>
      <c r="P163">
        <v>1</v>
      </c>
      <c r="Q163">
        <v>199</v>
      </c>
      <c r="R163">
        <v>0</v>
      </c>
      <c r="S163">
        <v>199</v>
      </c>
      <c r="T163">
        <v>9</v>
      </c>
      <c r="U163" t="s">
        <v>17</v>
      </c>
      <c r="V163" t="s">
        <v>16</v>
      </c>
      <c r="W163">
        <v>199</v>
      </c>
      <c r="X163">
        <v>65</v>
      </c>
    </row>
    <row r="164" spans="1:24" x14ac:dyDescent="0.3">
      <c r="A164">
        <v>1065</v>
      </c>
      <c r="B164">
        <v>28</v>
      </c>
      <c r="C164" s="1">
        <v>45716</v>
      </c>
      <c r="D164" t="s">
        <v>48</v>
      </c>
      <c r="E164" t="s">
        <v>42</v>
      </c>
      <c r="F164">
        <v>0</v>
      </c>
      <c r="G164">
        <v>28</v>
      </c>
      <c r="H164" t="s">
        <v>115</v>
      </c>
      <c r="I164" t="s">
        <v>80</v>
      </c>
      <c r="J164" t="s">
        <v>81</v>
      </c>
      <c r="K164" t="s">
        <v>58</v>
      </c>
      <c r="L164" s="1">
        <v>45592</v>
      </c>
      <c r="M164">
        <v>163</v>
      </c>
      <c r="N164">
        <v>1065</v>
      </c>
      <c r="O164">
        <v>5</v>
      </c>
      <c r="P164">
        <v>2</v>
      </c>
      <c r="Q164">
        <v>1299</v>
      </c>
      <c r="R164">
        <v>0.15</v>
      </c>
      <c r="S164">
        <v>2208</v>
      </c>
      <c r="T164">
        <v>5</v>
      </c>
      <c r="U164" t="s">
        <v>10</v>
      </c>
      <c r="V164" t="s">
        <v>11</v>
      </c>
      <c r="W164">
        <v>1299</v>
      </c>
      <c r="X164">
        <v>650</v>
      </c>
    </row>
    <row r="165" spans="1:24" x14ac:dyDescent="0.3">
      <c r="A165">
        <v>1066</v>
      </c>
      <c r="B165">
        <v>37</v>
      </c>
      <c r="C165" s="1">
        <v>45805</v>
      </c>
      <c r="D165" t="s">
        <v>41</v>
      </c>
      <c r="E165" t="s">
        <v>49</v>
      </c>
      <c r="F165">
        <v>1</v>
      </c>
      <c r="G165">
        <v>37</v>
      </c>
      <c r="H165" t="s">
        <v>124</v>
      </c>
      <c r="I165" t="s">
        <v>101</v>
      </c>
      <c r="J165" t="s">
        <v>78</v>
      </c>
      <c r="K165" t="s">
        <v>58</v>
      </c>
      <c r="L165" s="1">
        <v>44933</v>
      </c>
      <c r="M165">
        <v>164</v>
      </c>
      <c r="N165">
        <v>1066</v>
      </c>
      <c r="O165">
        <v>13</v>
      </c>
      <c r="P165">
        <v>1</v>
      </c>
      <c r="Q165">
        <v>10999</v>
      </c>
      <c r="R165">
        <v>0.1</v>
      </c>
      <c r="S165">
        <v>9899</v>
      </c>
      <c r="T165">
        <v>13</v>
      </c>
      <c r="U165" t="s">
        <v>22</v>
      </c>
      <c r="V165" t="s">
        <v>6</v>
      </c>
      <c r="W165">
        <v>10999</v>
      </c>
      <c r="X165">
        <v>7900</v>
      </c>
    </row>
    <row r="166" spans="1:24" x14ac:dyDescent="0.3">
      <c r="A166">
        <v>1066</v>
      </c>
      <c r="B166">
        <v>37</v>
      </c>
      <c r="C166" s="1">
        <v>45805</v>
      </c>
      <c r="D166" t="s">
        <v>41</v>
      </c>
      <c r="E166" t="s">
        <v>49</v>
      </c>
      <c r="F166">
        <v>1</v>
      </c>
      <c r="G166">
        <v>37</v>
      </c>
      <c r="H166" t="s">
        <v>124</v>
      </c>
      <c r="I166" t="s">
        <v>101</v>
      </c>
      <c r="J166" t="s">
        <v>78</v>
      </c>
      <c r="K166" t="s">
        <v>58</v>
      </c>
      <c r="L166" s="1">
        <v>44933</v>
      </c>
      <c r="M166">
        <v>165</v>
      </c>
      <c r="N166">
        <v>1066</v>
      </c>
      <c r="O166">
        <v>9</v>
      </c>
      <c r="P166">
        <v>1</v>
      </c>
      <c r="Q166">
        <v>199</v>
      </c>
      <c r="R166">
        <v>0</v>
      </c>
      <c r="S166">
        <v>199</v>
      </c>
      <c r="T166">
        <v>9</v>
      </c>
      <c r="U166" t="s">
        <v>17</v>
      </c>
      <c r="V166" t="s">
        <v>16</v>
      </c>
      <c r="W166">
        <v>199</v>
      </c>
      <c r="X166">
        <v>65</v>
      </c>
    </row>
    <row r="167" spans="1:24" x14ac:dyDescent="0.3">
      <c r="A167">
        <v>1066</v>
      </c>
      <c r="B167">
        <v>37</v>
      </c>
      <c r="C167" s="1">
        <v>45805</v>
      </c>
      <c r="D167" t="s">
        <v>41</v>
      </c>
      <c r="E167" t="s">
        <v>49</v>
      </c>
      <c r="F167">
        <v>1</v>
      </c>
      <c r="G167">
        <v>37</v>
      </c>
      <c r="H167" t="s">
        <v>124</v>
      </c>
      <c r="I167" t="s">
        <v>101</v>
      </c>
      <c r="J167" t="s">
        <v>78</v>
      </c>
      <c r="K167" t="s">
        <v>58</v>
      </c>
      <c r="L167" s="1">
        <v>44933</v>
      </c>
      <c r="M167">
        <v>166</v>
      </c>
      <c r="N167">
        <v>1066</v>
      </c>
      <c r="O167">
        <v>17</v>
      </c>
      <c r="P167">
        <v>2</v>
      </c>
      <c r="Q167">
        <v>8499</v>
      </c>
      <c r="R167">
        <v>0.2</v>
      </c>
      <c r="S167">
        <v>13598</v>
      </c>
      <c r="T167">
        <v>17</v>
      </c>
      <c r="U167" t="s">
        <v>26</v>
      </c>
      <c r="V167" t="s">
        <v>14</v>
      </c>
      <c r="W167">
        <v>8499</v>
      </c>
      <c r="X167">
        <v>6100</v>
      </c>
    </row>
    <row r="168" spans="1:24" x14ac:dyDescent="0.3">
      <c r="A168">
        <v>1067</v>
      </c>
      <c r="B168">
        <v>21</v>
      </c>
      <c r="C168" s="1">
        <v>45967</v>
      </c>
      <c r="D168" t="s">
        <v>41</v>
      </c>
      <c r="E168" t="s">
        <v>46</v>
      </c>
      <c r="F168">
        <v>1</v>
      </c>
      <c r="G168">
        <v>21</v>
      </c>
      <c r="H168" t="s">
        <v>108</v>
      </c>
      <c r="I168" t="s">
        <v>56</v>
      </c>
      <c r="J168" t="s">
        <v>57</v>
      </c>
      <c r="K168" t="s">
        <v>66</v>
      </c>
      <c r="L168" s="1">
        <v>45165</v>
      </c>
      <c r="M168">
        <v>167</v>
      </c>
      <c r="N168">
        <v>1067</v>
      </c>
      <c r="O168">
        <v>19</v>
      </c>
      <c r="P168">
        <v>3</v>
      </c>
      <c r="Q168">
        <v>499</v>
      </c>
      <c r="R168">
        <v>0.2</v>
      </c>
      <c r="S168">
        <v>1198</v>
      </c>
      <c r="T168">
        <v>19</v>
      </c>
      <c r="U168" t="s">
        <v>28</v>
      </c>
      <c r="V168" t="s">
        <v>11</v>
      </c>
      <c r="W168">
        <v>499</v>
      </c>
      <c r="X168">
        <v>220</v>
      </c>
    </row>
    <row r="169" spans="1:24" x14ac:dyDescent="0.3">
      <c r="A169">
        <v>1067</v>
      </c>
      <c r="B169">
        <v>21</v>
      </c>
      <c r="C169" s="1">
        <v>45967</v>
      </c>
      <c r="D169" t="s">
        <v>41</v>
      </c>
      <c r="E169" t="s">
        <v>46</v>
      </c>
      <c r="F169">
        <v>1</v>
      </c>
      <c r="G169">
        <v>21</v>
      </c>
      <c r="H169" t="s">
        <v>108</v>
      </c>
      <c r="I169" t="s">
        <v>56</v>
      </c>
      <c r="J169" t="s">
        <v>57</v>
      </c>
      <c r="K169" t="s">
        <v>66</v>
      </c>
      <c r="L169" s="1">
        <v>45165</v>
      </c>
      <c r="M169">
        <v>168</v>
      </c>
      <c r="N169">
        <v>1067</v>
      </c>
      <c r="O169">
        <v>20</v>
      </c>
      <c r="P169">
        <v>2</v>
      </c>
      <c r="Q169">
        <v>449</v>
      </c>
      <c r="R169">
        <v>0.15</v>
      </c>
      <c r="S169">
        <v>763</v>
      </c>
      <c r="T169">
        <v>20</v>
      </c>
      <c r="U169" t="s">
        <v>29</v>
      </c>
      <c r="V169" t="s">
        <v>16</v>
      </c>
      <c r="W169">
        <v>449</v>
      </c>
      <c r="X169">
        <v>180</v>
      </c>
    </row>
    <row r="170" spans="1:24" x14ac:dyDescent="0.3">
      <c r="A170">
        <v>1068</v>
      </c>
      <c r="B170">
        <v>3</v>
      </c>
      <c r="C170" s="1">
        <v>45747</v>
      </c>
      <c r="D170" t="s">
        <v>41</v>
      </c>
      <c r="E170" t="s">
        <v>49</v>
      </c>
      <c r="F170">
        <v>5</v>
      </c>
      <c r="G170">
        <v>3</v>
      </c>
      <c r="H170" t="s">
        <v>63</v>
      </c>
      <c r="I170" t="s">
        <v>64</v>
      </c>
      <c r="J170" t="s">
        <v>65</v>
      </c>
      <c r="K170" t="s">
        <v>66</v>
      </c>
      <c r="L170" s="1">
        <v>44952</v>
      </c>
      <c r="M170">
        <v>169</v>
      </c>
      <c r="N170">
        <v>1068</v>
      </c>
      <c r="O170">
        <v>6</v>
      </c>
      <c r="P170">
        <v>1</v>
      </c>
      <c r="Q170">
        <v>1899</v>
      </c>
      <c r="R170">
        <v>0.1</v>
      </c>
      <c r="S170">
        <v>1709</v>
      </c>
      <c r="T170">
        <v>6</v>
      </c>
      <c r="U170" t="s">
        <v>12</v>
      </c>
      <c r="V170" t="s">
        <v>11</v>
      </c>
      <c r="W170">
        <v>1899</v>
      </c>
      <c r="X170">
        <v>950</v>
      </c>
    </row>
    <row r="171" spans="1:24" x14ac:dyDescent="0.3">
      <c r="A171">
        <v>1068</v>
      </c>
      <c r="B171">
        <v>3</v>
      </c>
      <c r="C171" s="1">
        <v>45747</v>
      </c>
      <c r="D171" t="s">
        <v>41</v>
      </c>
      <c r="E171" t="s">
        <v>49</v>
      </c>
      <c r="F171">
        <v>5</v>
      </c>
      <c r="G171">
        <v>3</v>
      </c>
      <c r="H171" t="s">
        <v>63</v>
      </c>
      <c r="I171" t="s">
        <v>64</v>
      </c>
      <c r="J171" t="s">
        <v>65</v>
      </c>
      <c r="K171" t="s">
        <v>66</v>
      </c>
      <c r="L171" s="1">
        <v>44952</v>
      </c>
      <c r="M171">
        <v>170</v>
      </c>
      <c r="N171">
        <v>1068</v>
      </c>
      <c r="O171">
        <v>19</v>
      </c>
      <c r="P171">
        <v>3</v>
      </c>
      <c r="Q171">
        <v>499</v>
      </c>
      <c r="R171">
        <v>0.1</v>
      </c>
      <c r="S171">
        <v>1347</v>
      </c>
      <c r="T171">
        <v>19</v>
      </c>
      <c r="U171" t="s">
        <v>28</v>
      </c>
      <c r="V171" t="s">
        <v>11</v>
      </c>
      <c r="W171">
        <v>499</v>
      </c>
      <c r="X171">
        <v>220</v>
      </c>
    </row>
    <row r="172" spans="1:24" x14ac:dyDescent="0.3">
      <c r="A172">
        <v>1068</v>
      </c>
      <c r="B172">
        <v>3</v>
      </c>
      <c r="C172" s="1">
        <v>45747</v>
      </c>
      <c r="D172" t="s">
        <v>41</v>
      </c>
      <c r="E172" t="s">
        <v>49</v>
      </c>
      <c r="F172">
        <v>5</v>
      </c>
      <c r="G172">
        <v>3</v>
      </c>
      <c r="H172" t="s">
        <v>63</v>
      </c>
      <c r="I172" t="s">
        <v>64</v>
      </c>
      <c r="J172" t="s">
        <v>65</v>
      </c>
      <c r="K172" t="s">
        <v>66</v>
      </c>
      <c r="L172" s="1">
        <v>44952</v>
      </c>
      <c r="M172">
        <v>171</v>
      </c>
      <c r="N172">
        <v>1068</v>
      </c>
      <c r="O172">
        <v>14</v>
      </c>
      <c r="P172">
        <v>1</v>
      </c>
      <c r="Q172">
        <v>2499</v>
      </c>
      <c r="R172">
        <v>0.05</v>
      </c>
      <c r="S172">
        <v>2374</v>
      </c>
      <c r="T172">
        <v>14</v>
      </c>
      <c r="U172" t="s">
        <v>23</v>
      </c>
      <c r="V172" t="s">
        <v>6</v>
      </c>
      <c r="W172">
        <v>2499</v>
      </c>
      <c r="X172">
        <v>1500</v>
      </c>
    </row>
    <row r="173" spans="1:24" x14ac:dyDescent="0.3">
      <c r="A173">
        <v>1069</v>
      </c>
      <c r="B173">
        <v>21</v>
      </c>
      <c r="C173" s="1">
        <v>46001</v>
      </c>
      <c r="D173" t="s">
        <v>41</v>
      </c>
      <c r="E173" t="s">
        <v>42</v>
      </c>
      <c r="F173">
        <v>7</v>
      </c>
      <c r="G173">
        <v>21</v>
      </c>
      <c r="H173" t="s">
        <v>108</v>
      </c>
      <c r="I173" t="s">
        <v>56</v>
      </c>
      <c r="J173" t="s">
        <v>57</v>
      </c>
      <c r="K173" t="s">
        <v>66</v>
      </c>
      <c r="L173" s="1">
        <v>45165</v>
      </c>
      <c r="M173">
        <v>172</v>
      </c>
      <c r="N173">
        <v>1069</v>
      </c>
      <c r="O173">
        <v>14</v>
      </c>
      <c r="P173">
        <v>2</v>
      </c>
      <c r="Q173">
        <v>2499</v>
      </c>
      <c r="R173">
        <v>0.1</v>
      </c>
      <c r="S173">
        <v>4498</v>
      </c>
      <c r="T173">
        <v>14</v>
      </c>
      <c r="U173" t="s">
        <v>23</v>
      </c>
      <c r="V173" t="s">
        <v>6</v>
      </c>
      <c r="W173">
        <v>2499</v>
      </c>
      <c r="X173">
        <v>1500</v>
      </c>
    </row>
    <row r="174" spans="1:24" x14ac:dyDescent="0.3">
      <c r="A174">
        <v>1069</v>
      </c>
      <c r="B174">
        <v>21</v>
      </c>
      <c r="C174" s="1">
        <v>46001</v>
      </c>
      <c r="D174" t="s">
        <v>41</v>
      </c>
      <c r="E174" t="s">
        <v>42</v>
      </c>
      <c r="F174">
        <v>7</v>
      </c>
      <c r="G174">
        <v>21</v>
      </c>
      <c r="H174" t="s">
        <v>108</v>
      </c>
      <c r="I174" t="s">
        <v>56</v>
      </c>
      <c r="J174" t="s">
        <v>57</v>
      </c>
      <c r="K174" t="s">
        <v>66</v>
      </c>
      <c r="L174" s="1">
        <v>45165</v>
      </c>
      <c r="M174">
        <v>173</v>
      </c>
      <c r="N174">
        <v>1069</v>
      </c>
      <c r="O174">
        <v>16</v>
      </c>
      <c r="P174">
        <v>2</v>
      </c>
      <c r="Q174">
        <v>1599</v>
      </c>
      <c r="R174">
        <v>0.15</v>
      </c>
      <c r="S174">
        <v>2718</v>
      </c>
      <c r="T174">
        <v>16</v>
      </c>
      <c r="U174" t="s">
        <v>25</v>
      </c>
      <c r="V174" t="s">
        <v>6</v>
      </c>
      <c r="W174">
        <v>1599</v>
      </c>
      <c r="X174">
        <v>900</v>
      </c>
    </row>
    <row r="175" spans="1:24" x14ac:dyDescent="0.3">
      <c r="A175">
        <v>1069</v>
      </c>
      <c r="B175">
        <v>21</v>
      </c>
      <c r="C175" s="1">
        <v>46001</v>
      </c>
      <c r="D175" t="s">
        <v>41</v>
      </c>
      <c r="E175" t="s">
        <v>42</v>
      </c>
      <c r="F175">
        <v>7</v>
      </c>
      <c r="G175">
        <v>21</v>
      </c>
      <c r="H175" t="s">
        <v>108</v>
      </c>
      <c r="I175" t="s">
        <v>56</v>
      </c>
      <c r="J175" t="s">
        <v>57</v>
      </c>
      <c r="K175" t="s">
        <v>66</v>
      </c>
      <c r="L175" s="1">
        <v>45165</v>
      </c>
      <c r="M175">
        <v>174</v>
      </c>
      <c r="N175">
        <v>1069</v>
      </c>
      <c r="O175">
        <v>10</v>
      </c>
      <c r="P175">
        <v>1</v>
      </c>
      <c r="Q175">
        <v>599</v>
      </c>
      <c r="R175">
        <v>0</v>
      </c>
      <c r="S175">
        <v>599</v>
      </c>
      <c r="T175">
        <v>10</v>
      </c>
      <c r="U175" t="s">
        <v>18</v>
      </c>
      <c r="V175" t="s">
        <v>19</v>
      </c>
      <c r="W175">
        <v>599</v>
      </c>
      <c r="X175">
        <v>260</v>
      </c>
    </row>
    <row r="176" spans="1:24" x14ac:dyDescent="0.3">
      <c r="A176">
        <v>1070</v>
      </c>
      <c r="B176">
        <v>21</v>
      </c>
      <c r="C176" s="1">
        <v>45787</v>
      </c>
      <c r="D176" t="s">
        <v>41</v>
      </c>
      <c r="E176" t="s">
        <v>49</v>
      </c>
      <c r="F176">
        <v>1</v>
      </c>
      <c r="G176">
        <v>21</v>
      </c>
      <c r="H176" t="s">
        <v>108</v>
      </c>
      <c r="I176" t="s">
        <v>56</v>
      </c>
      <c r="J176" t="s">
        <v>57</v>
      </c>
      <c r="K176" t="s">
        <v>66</v>
      </c>
      <c r="L176" s="1">
        <v>45165</v>
      </c>
      <c r="M176">
        <v>175</v>
      </c>
      <c r="N176">
        <v>1070</v>
      </c>
      <c r="O176">
        <v>18</v>
      </c>
      <c r="P176">
        <v>1</v>
      </c>
      <c r="Q176">
        <v>3299</v>
      </c>
      <c r="R176">
        <v>0</v>
      </c>
      <c r="S176">
        <v>3299</v>
      </c>
      <c r="T176">
        <v>18</v>
      </c>
      <c r="U176" t="s">
        <v>27</v>
      </c>
      <c r="V176" t="s">
        <v>19</v>
      </c>
      <c r="W176">
        <v>3299</v>
      </c>
      <c r="X176">
        <v>2050</v>
      </c>
    </row>
    <row r="177" spans="1:24" x14ac:dyDescent="0.3">
      <c r="A177">
        <v>1071</v>
      </c>
      <c r="B177">
        <v>13</v>
      </c>
      <c r="C177" s="1">
        <v>45923</v>
      </c>
      <c r="D177" t="s">
        <v>41</v>
      </c>
      <c r="E177" t="s">
        <v>49</v>
      </c>
      <c r="F177">
        <v>5</v>
      </c>
      <c r="G177">
        <v>13</v>
      </c>
      <c r="H177" t="s">
        <v>92</v>
      </c>
      <c r="I177" t="s">
        <v>93</v>
      </c>
      <c r="J177" t="s">
        <v>65</v>
      </c>
      <c r="K177" t="s">
        <v>58</v>
      </c>
      <c r="L177" s="1">
        <v>45485</v>
      </c>
      <c r="M177">
        <v>176</v>
      </c>
      <c r="N177">
        <v>1071</v>
      </c>
      <c r="O177">
        <v>2</v>
      </c>
      <c r="P177">
        <v>2</v>
      </c>
      <c r="Q177">
        <v>2499</v>
      </c>
      <c r="R177">
        <v>0.1</v>
      </c>
      <c r="S177">
        <v>4498</v>
      </c>
      <c r="T177">
        <v>2</v>
      </c>
      <c r="U177" t="s">
        <v>7</v>
      </c>
      <c r="V177" t="s">
        <v>6</v>
      </c>
      <c r="W177">
        <v>2499</v>
      </c>
      <c r="X177">
        <v>1500</v>
      </c>
    </row>
    <row r="178" spans="1:24" x14ac:dyDescent="0.3">
      <c r="A178">
        <v>1071</v>
      </c>
      <c r="B178">
        <v>13</v>
      </c>
      <c r="C178" s="1">
        <v>45923</v>
      </c>
      <c r="D178" t="s">
        <v>41</v>
      </c>
      <c r="E178" t="s">
        <v>49</v>
      </c>
      <c r="F178">
        <v>5</v>
      </c>
      <c r="G178">
        <v>13</v>
      </c>
      <c r="H178" t="s">
        <v>92</v>
      </c>
      <c r="I178" t="s">
        <v>93</v>
      </c>
      <c r="J178" t="s">
        <v>65</v>
      </c>
      <c r="K178" t="s">
        <v>58</v>
      </c>
      <c r="L178" s="1">
        <v>45485</v>
      </c>
      <c r="M178">
        <v>177</v>
      </c>
      <c r="N178">
        <v>1071</v>
      </c>
      <c r="O178">
        <v>7</v>
      </c>
      <c r="P178">
        <v>2</v>
      </c>
      <c r="Q178">
        <v>999</v>
      </c>
      <c r="R178">
        <v>0.1</v>
      </c>
      <c r="S178">
        <v>1798</v>
      </c>
      <c r="T178">
        <v>7</v>
      </c>
      <c r="U178" t="s">
        <v>13</v>
      </c>
      <c r="V178" t="s">
        <v>14</v>
      </c>
      <c r="W178">
        <v>999</v>
      </c>
      <c r="X178">
        <v>480</v>
      </c>
    </row>
    <row r="179" spans="1:24" x14ac:dyDescent="0.3">
      <c r="A179">
        <v>1071</v>
      </c>
      <c r="B179">
        <v>13</v>
      </c>
      <c r="C179" s="1">
        <v>45923</v>
      </c>
      <c r="D179" t="s">
        <v>41</v>
      </c>
      <c r="E179" t="s">
        <v>49</v>
      </c>
      <c r="F179">
        <v>5</v>
      </c>
      <c r="G179">
        <v>13</v>
      </c>
      <c r="H179" t="s">
        <v>92</v>
      </c>
      <c r="I179" t="s">
        <v>93</v>
      </c>
      <c r="J179" t="s">
        <v>65</v>
      </c>
      <c r="K179" t="s">
        <v>58</v>
      </c>
      <c r="L179" s="1">
        <v>45485</v>
      </c>
      <c r="M179">
        <v>178</v>
      </c>
      <c r="N179">
        <v>1071</v>
      </c>
      <c r="O179">
        <v>9</v>
      </c>
      <c r="P179">
        <v>1</v>
      </c>
      <c r="Q179">
        <v>199</v>
      </c>
      <c r="R179">
        <v>0.2</v>
      </c>
      <c r="S179">
        <v>159</v>
      </c>
      <c r="T179">
        <v>9</v>
      </c>
      <c r="U179" t="s">
        <v>17</v>
      </c>
      <c r="V179" t="s">
        <v>16</v>
      </c>
      <c r="W179">
        <v>199</v>
      </c>
      <c r="X179">
        <v>65</v>
      </c>
    </row>
    <row r="180" spans="1:24" x14ac:dyDescent="0.3">
      <c r="A180">
        <v>1071</v>
      </c>
      <c r="B180">
        <v>13</v>
      </c>
      <c r="C180" s="1">
        <v>45923</v>
      </c>
      <c r="D180" t="s">
        <v>41</v>
      </c>
      <c r="E180" t="s">
        <v>49</v>
      </c>
      <c r="F180">
        <v>5</v>
      </c>
      <c r="G180">
        <v>13</v>
      </c>
      <c r="H180" t="s">
        <v>92</v>
      </c>
      <c r="I180" t="s">
        <v>93</v>
      </c>
      <c r="J180" t="s">
        <v>65</v>
      </c>
      <c r="K180" t="s">
        <v>58</v>
      </c>
      <c r="L180" s="1">
        <v>45485</v>
      </c>
      <c r="M180">
        <v>179</v>
      </c>
      <c r="N180">
        <v>1071</v>
      </c>
      <c r="O180">
        <v>5</v>
      </c>
      <c r="P180">
        <v>1</v>
      </c>
      <c r="Q180">
        <v>1299</v>
      </c>
      <c r="R180">
        <v>0</v>
      </c>
      <c r="S180">
        <v>1299</v>
      </c>
      <c r="T180">
        <v>5</v>
      </c>
      <c r="U180" t="s">
        <v>10</v>
      </c>
      <c r="V180" t="s">
        <v>11</v>
      </c>
      <c r="W180">
        <v>1299</v>
      </c>
      <c r="X180">
        <v>650</v>
      </c>
    </row>
    <row r="181" spans="1:24" x14ac:dyDescent="0.3">
      <c r="A181">
        <v>1072</v>
      </c>
      <c r="B181">
        <v>11</v>
      </c>
      <c r="C181" s="1">
        <v>45817</v>
      </c>
      <c r="D181" t="s">
        <v>48</v>
      </c>
      <c r="E181" t="s">
        <v>46</v>
      </c>
      <c r="F181">
        <v>0</v>
      </c>
      <c r="G181">
        <v>11</v>
      </c>
      <c r="H181" t="s">
        <v>88</v>
      </c>
      <c r="I181" t="s">
        <v>89</v>
      </c>
      <c r="J181" t="s">
        <v>57</v>
      </c>
      <c r="K181" t="s">
        <v>62</v>
      </c>
      <c r="L181" s="1">
        <v>45619</v>
      </c>
      <c r="M181">
        <v>180</v>
      </c>
      <c r="N181">
        <v>1072</v>
      </c>
      <c r="O181">
        <v>3</v>
      </c>
      <c r="P181">
        <v>3</v>
      </c>
      <c r="Q181">
        <v>1799</v>
      </c>
      <c r="R181">
        <v>0.2</v>
      </c>
      <c r="S181">
        <v>4318</v>
      </c>
      <c r="T181">
        <v>3</v>
      </c>
      <c r="U181" t="s">
        <v>8</v>
      </c>
      <c r="V181" t="s">
        <v>6</v>
      </c>
      <c r="W181">
        <v>1799</v>
      </c>
      <c r="X181">
        <v>980</v>
      </c>
    </row>
    <row r="182" spans="1:24" x14ac:dyDescent="0.3">
      <c r="A182">
        <v>1072</v>
      </c>
      <c r="B182">
        <v>11</v>
      </c>
      <c r="C182" s="1">
        <v>45817</v>
      </c>
      <c r="D182" t="s">
        <v>48</v>
      </c>
      <c r="E182" t="s">
        <v>46</v>
      </c>
      <c r="F182">
        <v>0</v>
      </c>
      <c r="G182">
        <v>11</v>
      </c>
      <c r="H182" t="s">
        <v>88</v>
      </c>
      <c r="I182" t="s">
        <v>89</v>
      </c>
      <c r="J182" t="s">
        <v>57</v>
      </c>
      <c r="K182" t="s">
        <v>62</v>
      </c>
      <c r="L182" s="1">
        <v>45619</v>
      </c>
      <c r="M182">
        <v>181</v>
      </c>
      <c r="N182">
        <v>1072</v>
      </c>
      <c r="O182">
        <v>8</v>
      </c>
      <c r="P182">
        <v>2</v>
      </c>
      <c r="Q182">
        <v>299</v>
      </c>
      <c r="R182">
        <v>0.1</v>
      </c>
      <c r="S182">
        <v>538</v>
      </c>
      <c r="T182">
        <v>8</v>
      </c>
      <c r="U182" t="s">
        <v>15</v>
      </c>
      <c r="V182" t="s">
        <v>16</v>
      </c>
      <c r="W182">
        <v>299</v>
      </c>
      <c r="X182">
        <v>110</v>
      </c>
    </row>
    <row r="183" spans="1:24" x14ac:dyDescent="0.3">
      <c r="A183">
        <v>1072</v>
      </c>
      <c r="B183">
        <v>11</v>
      </c>
      <c r="C183" s="1">
        <v>45817</v>
      </c>
      <c r="D183" t="s">
        <v>48</v>
      </c>
      <c r="E183" t="s">
        <v>46</v>
      </c>
      <c r="F183">
        <v>0</v>
      </c>
      <c r="G183">
        <v>11</v>
      </c>
      <c r="H183" t="s">
        <v>88</v>
      </c>
      <c r="I183" t="s">
        <v>89</v>
      </c>
      <c r="J183" t="s">
        <v>57</v>
      </c>
      <c r="K183" t="s">
        <v>62</v>
      </c>
      <c r="L183" s="1">
        <v>45619</v>
      </c>
      <c r="M183">
        <v>182</v>
      </c>
      <c r="N183">
        <v>1072</v>
      </c>
      <c r="O183">
        <v>4</v>
      </c>
      <c r="P183">
        <v>3</v>
      </c>
      <c r="Q183">
        <v>2199</v>
      </c>
      <c r="R183">
        <v>0.05</v>
      </c>
      <c r="S183">
        <v>6267</v>
      </c>
      <c r="T183">
        <v>4</v>
      </c>
      <c r="U183" t="s">
        <v>9</v>
      </c>
      <c r="V183" t="s">
        <v>6</v>
      </c>
      <c r="W183">
        <v>2199</v>
      </c>
      <c r="X183">
        <v>1250</v>
      </c>
    </row>
    <row r="184" spans="1:24" x14ac:dyDescent="0.3">
      <c r="A184">
        <v>1072</v>
      </c>
      <c r="B184">
        <v>11</v>
      </c>
      <c r="C184" s="1">
        <v>45817</v>
      </c>
      <c r="D184" t="s">
        <v>48</v>
      </c>
      <c r="E184" t="s">
        <v>46</v>
      </c>
      <c r="F184">
        <v>0</v>
      </c>
      <c r="G184">
        <v>11</v>
      </c>
      <c r="H184" t="s">
        <v>88</v>
      </c>
      <c r="I184" t="s">
        <v>89</v>
      </c>
      <c r="J184" t="s">
        <v>57</v>
      </c>
      <c r="K184" t="s">
        <v>62</v>
      </c>
      <c r="L184" s="1">
        <v>45619</v>
      </c>
      <c r="M184">
        <v>183</v>
      </c>
      <c r="N184">
        <v>1072</v>
      </c>
      <c r="O184">
        <v>15</v>
      </c>
      <c r="P184">
        <v>1</v>
      </c>
      <c r="Q184">
        <v>349</v>
      </c>
      <c r="R184">
        <v>0.05</v>
      </c>
      <c r="S184">
        <v>332</v>
      </c>
      <c r="T184">
        <v>15</v>
      </c>
      <c r="U184" t="s">
        <v>24</v>
      </c>
      <c r="V184" t="s">
        <v>11</v>
      </c>
      <c r="W184">
        <v>349</v>
      </c>
      <c r="X184">
        <v>120</v>
      </c>
    </row>
    <row r="185" spans="1:24" x14ac:dyDescent="0.3">
      <c r="A185">
        <v>1073</v>
      </c>
      <c r="B185">
        <v>27</v>
      </c>
      <c r="C185" s="1">
        <v>45905</v>
      </c>
      <c r="D185" t="s">
        <v>41</v>
      </c>
      <c r="E185" t="s">
        <v>49</v>
      </c>
      <c r="F185">
        <v>2</v>
      </c>
      <c r="G185">
        <v>27</v>
      </c>
      <c r="H185" t="s">
        <v>114</v>
      </c>
      <c r="I185" t="s">
        <v>77</v>
      </c>
      <c r="J185" t="s">
        <v>78</v>
      </c>
      <c r="K185" t="s">
        <v>66</v>
      </c>
      <c r="L185" s="1">
        <v>45660</v>
      </c>
      <c r="M185">
        <v>184</v>
      </c>
      <c r="N185">
        <v>1073</v>
      </c>
      <c r="O185">
        <v>13</v>
      </c>
      <c r="P185">
        <v>2</v>
      </c>
      <c r="Q185">
        <v>10999</v>
      </c>
      <c r="R185">
        <v>0.15</v>
      </c>
      <c r="S185">
        <v>18698</v>
      </c>
      <c r="T185">
        <v>13</v>
      </c>
      <c r="U185" t="s">
        <v>22</v>
      </c>
      <c r="V185" t="s">
        <v>6</v>
      </c>
      <c r="W185">
        <v>10999</v>
      </c>
      <c r="X185">
        <v>7900</v>
      </c>
    </row>
    <row r="186" spans="1:24" x14ac:dyDescent="0.3">
      <c r="A186">
        <v>1073</v>
      </c>
      <c r="B186">
        <v>27</v>
      </c>
      <c r="C186" s="1">
        <v>45905</v>
      </c>
      <c r="D186" t="s">
        <v>41</v>
      </c>
      <c r="E186" t="s">
        <v>49</v>
      </c>
      <c r="F186">
        <v>2</v>
      </c>
      <c r="G186">
        <v>27</v>
      </c>
      <c r="H186" t="s">
        <v>114</v>
      </c>
      <c r="I186" t="s">
        <v>77</v>
      </c>
      <c r="J186" t="s">
        <v>78</v>
      </c>
      <c r="K186" t="s">
        <v>66</v>
      </c>
      <c r="L186" s="1">
        <v>45660</v>
      </c>
      <c r="M186">
        <v>185</v>
      </c>
      <c r="N186">
        <v>1073</v>
      </c>
      <c r="O186">
        <v>7</v>
      </c>
      <c r="P186">
        <v>2</v>
      </c>
      <c r="Q186">
        <v>999</v>
      </c>
      <c r="R186">
        <v>0</v>
      </c>
      <c r="S186">
        <v>1998</v>
      </c>
      <c r="T186">
        <v>7</v>
      </c>
      <c r="U186" t="s">
        <v>13</v>
      </c>
      <c r="V186" t="s">
        <v>14</v>
      </c>
      <c r="W186">
        <v>999</v>
      </c>
      <c r="X186">
        <v>480</v>
      </c>
    </row>
    <row r="187" spans="1:24" x14ac:dyDescent="0.3">
      <c r="A187">
        <v>1074</v>
      </c>
      <c r="B187">
        <v>5</v>
      </c>
      <c r="C187" s="1">
        <v>45799</v>
      </c>
      <c r="D187" t="s">
        <v>47</v>
      </c>
      <c r="E187" t="s">
        <v>49</v>
      </c>
      <c r="F187">
        <v>0</v>
      </c>
      <c r="G187">
        <v>5</v>
      </c>
      <c r="H187" t="s">
        <v>70</v>
      </c>
      <c r="I187" t="s">
        <v>71</v>
      </c>
      <c r="J187" t="s">
        <v>72</v>
      </c>
      <c r="K187" t="s">
        <v>62</v>
      </c>
      <c r="L187" s="1">
        <v>45208</v>
      </c>
      <c r="M187">
        <v>186</v>
      </c>
      <c r="N187">
        <v>1074</v>
      </c>
      <c r="O187">
        <v>17</v>
      </c>
      <c r="P187">
        <v>1</v>
      </c>
      <c r="Q187">
        <v>8499</v>
      </c>
      <c r="R187">
        <v>0.05</v>
      </c>
      <c r="S187">
        <v>8074</v>
      </c>
      <c r="T187">
        <v>17</v>
      </c>
      <c r="U187" t="s">
        <v>26</v>
      </c>
      <c r="V187" t="s">
        <v>14</v>
      </c>
      <c r="W187">
        <v>8499</v>
      </c>
      <c r="X187">
        <v>6100</v>
      </c>
    </row>
    <row r="188" spans="1:24" x14ac:dyDescent="0.3">
      <c r="A188">
        <v>1074</v>
      </c>
      <c r="B188">
        <v>5</v>
      </c>
      <c r="C188" s="1">
        <v>45799</v>
      </c>
      <c r="D188" t="s">
        <v>47</v>
      </c>
      <c r="E188" t="s">
        <v>49</v>
      </c>
      <c r="F188">
        <v>0</v>
      </c>
      <c r="G188">
        <v>5</v>
      </c>
      <c r="H188" t="s">
        <v>70</v>
      </c>
      <c r="I188" t="s">
        <v>71</v>
      </c>
      <c r="J188" t="s">
        <v>72</v>
      </c>
      <c r="K188" t="s">
        <v>62</v>
      </c>
      <c r="L188" s="1">
        <v>45208</v>
      </c>
      <c r="M188">
        <v>187</v>
      </c>
      <c r="N188">
        <v>1074</v>
      </c>
      <c r="O188">
        <v>9</v>
      </c>
      <c r="P188">
        <v>2</v>
      </c>
      <c r="Q188">
        <v>199</v>
      </c>
      <c r="R188">
        <v>0.15</v>
      </c>
      <c r="S188">
        <v>338</v>
      </c>
      <c r="T188">
        <v>9</v>
      </c>
      <c r="U188" t="s">
        <v>17</v>
      </c>
      <c r="V188" t="s">
        <v>16</v>
      </c>
      <c r="W188">
        <v>199</v>
      </c>
      <c r="X188">
        <v>65</v>
      </c>
    </row>
    <row r="189" spans="1:24" x14ac:dyDescent="0.3">
      <c r="A189">
        <v>1074</v>
      </c>
      <c r="B189">
        <v>5</v>
      </c>
      <c r="C189" s="1">
        <v>45799</v>
      </c>
      <c r="D189" t="s">
        <v>47</v>
      </c>
      <c r="E189" t="s">
        <v>49</v>
      </c>
      <c r="F189">
        <v>0</v>
      </c>
      <c r="G189">
        <v>5</v>
      </c>
      <c r="H189" t="s">
        <v>70</v>
      </c>
      <c r="I189" t="s">
        <v>71</v>
      </c>
      <c r="J189" t="s">
        <v>72</v>
      </c>
      <c r="K189" t="s">
        <v>62</v>
      </c>
      <c r="L189" s="1">
        <v>45208</v>
      </c>
      <c r="M189">
        <v>188</v>
      </c>
      <c r="N189">
        <v>1074</v>
      </c>
      <c r="O189">
        <v>1</v>
      </c>
      <c r="P189">
        <v>3</v>
      </c>
      <c r="Q189">
        <v>799</v>
      </c>
      <c r="R189">
        <v>0.1</v>
      </c>
      <c r="S189">
        <v>2157</v>
      </c>
      <c r="T189">
        <v>1</v>
      </c>
      <c r="U189" t="s">
        <v>5</v>
      </c>
      <c r="V189" t="s">
        <v>6</v>
      </c>
      <c r="W189">
        <v>799</v>
      </c>
      <c r="X189">
        <v>420</v>
      </c>
    </row>
    <row r="190" spans="1:24" x14ac:dyDescent="0.3">
      <c r="A190">
        <v>1075</v>
      </c>
      <c r="B190">
        <v>10</v>
      </c>
      <c r="C190" s="1">
        <v>45886</v>
      </c>
      <c r="D190" t="s">
        <v>48</v>
      </c>
      <c r="E190" t="s">
        <v>49</v>
      </c>
      <c r="F190">
        <v>0</v>
      </c>
      <c r="G190">
        <v>10</v>
      </c>
      <c r="H190" t="s">
        <v>85</v>
      </c>
      <c r="I190" t="s">
        <v>86</v>
      </c>
      <c r="J190" t="s">
        <v>87</v>
      </c>
      <c r="K190" t="s">
        <v>58</v>
      </c>
      <c r="L190" s="1">
        <v>45031</v>
      </c>
      <c r="M190">
        <v>189</v>
      </c>
      <c r="N190">
        <v>1075</v>
      </c>
      <c r="O190">
        <v>11</v>
      </c>
      <c r="P190">
        <v>1</v>
      </c>
      <c r="Q190">
        <v>1099</v>
      </c>
      <c r="R190">
        <v>0.05</v>
      </c>
      <c r="S190">
        <v>1044</v>
      </c>
      <c r="T190">
        <v>11</v>
      </c>
      <c r="U190" t="s">
        <v>20</v>
      </c>
      <c r="V190" t="s">
        <v>19</v>
      </c>
      <c r="W190">
        <v>1099</v>
      </c>
      <c r="X190">
        <v>570</v>
      </c>
    </row>
    <row r="191" spans="1:24" x14ac:dyDescent="0.3">
      <c r="A191">
        <v>1075</v>
      </c>
      <c r="B191">
        <v>10</v>
      </c>
      <c r="C191" s="1">
        <v>45886</v>
      </c>
      <c r="D191" t="s">
        <v>48</v>
      </c>
      <c r="E191" t="s">
        <v>49</v>
      </c>
      <c r="F191">
        <v>0</v>
      </c>
      <c r="G191">
        <v>10</v>
      </c>
      <c r="H191" t="s">
        <v>85</v>
      </c>
      <c r="I191" t="s">
        <v>86</v>
      </c>
      <c r="J191" t="s">
        <v>87</v>
      </c>
      <c r="K191" t="s">
        <v>58</v>
      </c>
      <c r="L191" s="1">
        <v>45031</v>
      </c>
      <c r="M191">
        <v>190</v>
      </c>
      <c r="N191">
        <v>1075</v>
      </c>
      <c r="O191">
        <v>18</v>
      </c>
      <c r="P191">
        <v>2</v>
      </c>
      <c r="Q191">
        <v>3299</v>
      </c>
      <c r="R191">
        <v>0.2</v>
      </c>
      <c r="S191">
        <v>5278</v>
      </c>
      <c r="T191">
        <v>18</v>
      </c>
      <c r="U191" t="s">
        <v>27</v>
      </c>
      <c r="V191" t="s">
        <v>19</v>
      </c>
      <c r="W191">
        <v>3299</v>
      </c>
      <c r="X191">
        <v>2050</v>
      </c>
    </row>
    <row r="192" spans="1:24" x14ac:dyDescent="0.3">
      <c r="A192">
        <v>1075</v>
      </c>
      <c r="B192">
        <v>10</v>
      </c>
      <c r="C192" s="1">
        <v>45886</v>
      </c>
      <c r="D192" t="s">
        <v>48</v>
      </c>
      <c r="E192" t="s">
        <v>49</v>
      </c>
      <c r="F192">
        <v>0</v>
      </c>
      <c r="G192">
        <v>10</v>
      </c>
      <c r="H192" t="s">
        <v>85</v>
      </c>
      <c r="I192" t="s">
        <v>86</v>
      </c>
      <c r="J192" t="s">
        <v>87</v>
      </c>
      <c r="K192" t="s">
        <v>58</v>
      </c>
      <c r="L192" s="1">
        <v>45031</v>
      </c>
      <c r="M192">
        <v>191</v>
      </c>
      <c r="N192">
        <v>1075</v>
      </c>
      <c r="O192">
        <v>19</v>
      </c>
      <c r="P192">
        <v>1</v>
      </c>
      <c r="Q192">
        <v>499</v>
      </c>
      <c r="R192">
        <v>0.1</v>
      </c>
      <c r="S192">
        <v>449</v>
      </c>
      <c r="T192">
        <v>19</v>
      </c>
      <c r="U192" t="s">
        <v>28</v>
      </c>
      <c r="V192" t="s">
        <v>11</v>
      </c>
      <c r="W192">
        <v>499</v>
      </c>
      <c r="X192">
        <v>220</v>
      </c>
    </row>
    <row r="193" spans="1:24" x14ac:dyDescent="0.3">
      <c r="A193">
        <v>1076</v>
      </c>
      <c r="B193">
        <v>15</v>
      </c>
      <c r="C193" s="1">
        <v>45868</v>
      </c>
      <c r="D193" t="s">
        <v>41</v>
      </c>
      <c r="E193" t="s">
        <v>49</v>
      </c>
      <c r="F193">
        <v>3</v>
      </c>
      <c r="G193">
        <v>15</v>
      </c>
      <c r="H193" t="s">
        <v>96</v>
      </c>
      <c r="I193" t="s">
        <v>97</v>
      </c>
      <c r="J193" t="s">
        <v>72</v>
      </c>
      <c r="K193" t="s">
        <v>66</v>
      </c>
      <c r="L193" s="1">
        <v>45531</v>
      </c>
      <c r="M193">
        <v>192</v>
      </c>
      <c r="N193">
        <v>1076</v>
      </c>
      <c r="O193">
        <v>13</v>
      </c>
      <c r="P193">
        <v>1</v>
      </c>
      <c r="Q193">
        <v>10999</v>
      </c>
      <c r="R193">
        <v>0.15</v>
      </c>
      <c r="S193">
        <v>9349</v>
      </c>
      <c r="T193">
        <v>13</v>
      </c>
      <c r="U193" t="s">
        <v>22</v>
      </c>
      <c r="V193" t="s">
        <v>6</v>
      </c>
      <c r="W193">
        <v>10999</v>
      </c>
      <c r="X193">
        <v>7900</v>
      </c>
    </row>
    <row r="194" spans="1:24" x14ac:dyDescent="0.3">
      <c r="A194">
        <v>1076</v>
      </c>
      <c r="B194">
        <v>15</v>
      </c>
      <c r="C194" s="1">
        <v>45868</v>
      </c>
      <c r="D194" t="s">
        <v>41</v>
      </c>
      <c r="E194" t="s">
        <v>49</v>
      </c>
      <c r="F194">
        <v>3</v>
      </c>
      <c r="G194">
        <v>15</v>
      </c>
      <c r="H194" t="s">
        <v>96</v>
      </c>
      <c r="I194" t="s">
        <v>97</v>
      </c>
      <c r="J194" t="s">
        <v>72</v>
      </c>
      <c r="K194" t="s">
        <v>66</v>
      </c>
      <c r="L194" s="1">
        <v>45531</v>
      </c>
      <c r="M194">
        <v>193</v>
      </c>
      <c r="N194">
        <v>1076</v>
      </c>
      <c r="O194">
        <v>5</v>
      </c>
      <c r="P194">
        <v>1</v>
      </c>
      <c r="Q194">
        <v>1299</v>
      </c>
      <c r="R194">
        <v>0</v>
      </c>
      <c r="S194">
        <v>1299</v>
      </c>
      <c r="T194">
        <v>5</v>
      </c>
      <c r="U194" t="s">
        <v>10</v>
      </c>
      <c r="V194" t="s">
        <v>11</v>
      </c>
      <c r="W194">
        <v>1299</v>
      </c>
      <c r="X194">
        <v>650</v>
      </c>
    </row>
    <row r="195" spans="1:24" x14ac:dyDescent="0.3">
      <c r="A195">
        <v>1076</v>
      </c>
      <c r="B195">
        <v>15</v>
      </c>
      <c r="C195" s="1">
        <v>45868</v>
      </c>
      <c r="D195" t="s">
        <v>41</v>
      </c>
      <c r="E195" t="s">
        <v>49</v>
      </c>
      <c r="F195">
        <v>3</v>
      </c>
      <c r="G195">
        <v>15</v>
      </c>
      <c r="H195" t="s">
        <v>96</v>
      </c>
      <c r="I195" t="s">
        <v>97</v>
      </c>
      <c r="J195" t="s">
        <v>72</v>
      </c>
      <c r="K195" t="s">
        <v>66</v>
      </c>
      <c r="L195" s="1">
        <v>45531</v>
      </c>
      <c r="M195">
        <v>194</v>
      </c>
      <c r="N195">
        <v>1076</v>
      </c>
      <c r="O195">
        <v>16</v>
      </c>
      <c r="P195">
        <v>2</v>
      </c>
      <c r="Q195">
        <v>1599</v>
      </c>
      <c r="R195">
        <v>0.1</v>
      </c>
      <c r="S195">
        <v>2878</v>
      </c>
      <c r="T195">
        <v>16</v>
      </c>
      <c r="U195" t="s">
        <v>25</v>
      </c>
      <c r="V195" t="s">
        <v>6</v>
      </c>
      <c r="W195">
        <v>1599</v>
      </c>
      <c r="X195">
        <v>900</v>
      </c>
    </row>
    <row r="196" spans="1:24" x14ac:dyDescent="0.3">
      <c r="A196">
        <v>1076</v>
      </c>
      <c r="B196">
        <v>15</v>
      </c>
      <c r="C196" s="1">
        <v>45868</v>
      </c>
      <c r="D196" t="s">
        <v>41</v>
      </c>
      <c r="E196" t="s">
        <v>49</v>
      </c>
      <c r="F196">
        <v>3</v>
      </c>
      <c r="G196">
        <v>15</v>
      </c>
      <c r="H196" t="s">
        <v>96</v>
      </c>
      <c r="I196" t="s">
        <v>97</v>
      </c>
      <c r="J196" t="s">
        <v>72</v>
      </c>
      <c r="K196" t="s">
        <v>66</v>
      </c>
      <c r="L196" s="1">
        <v>45531</v>
      </c>
      <c r="M196">
        <v>195</v>
      </c>
      <c r="N196">
        <v>1076</v>
      </c>
      <c r="O196">
        <v>2</v>
      </c>
      <c r="P196">
        <v>1</v>
      </c>
      <c r="Q196">
        <v>2499</v>
      </c>
      <c r="R196">
        <v>0.1</v>
      </c>
      <c r="S196">
        <v>2249</v>
      </c>
      <c r="T196">
        <v>2</v>
      </c>
      <c r="U196" t="s">
        <v>7</v>
      </c>
      <c r="V196" t="s">
        <v>6</v>
      </c>
      <c r="W196">
        <v>2499</v>
      </c>
      <c r="X196">
        <v>1500</v>
      </c>
    </row>
    <row r="197" spans="1:24" x14ac:dyDescent="0.3">
      <c r="A197">
        <v>1077</v>
      </c>
      <c r="B197">
        <v>1</v>
      </c>
      <c r="C197" s="1">
        <v>45731</v>
      </c>
      <c r="D197" t="s">
        <v>41</v>
      </c>
      <c r="E197" t="s">
        <v>42</v>
      </c>
      <c r="F197">
        <v>7</v>
      </c>
      <c r="G197">
        <v>1</v>
      </c>
      <c r="H197" t="s">
        <v>55</v>
      </c>
      <c r="I197" t="s">
        <v>56</v>
      </c>
      <c r="J197" t="s">
        <v>57</v>
      </c>
      <c r="K197" t="s">
        <v>58</v>
      </c>
      <c r="L197" s="1">
        <v>45581</v>
      </c>
      <c r="M197">
        <v>196</v>
      </c>
      <c r="N197">
        <v>1077</v>
      </c>
      <c r="O197">
        <v>16</v>
      </c>
      <c r="P197">
        <v>2</v>
      </c>
      <c r="Q197">
        <v>1599</v>
      </c>
      <c r="R197">
        <v>0.05</v>
      </c>
      <c r="S197">
        <v>3038</v>
      </c>
      <c r="T197">
        <v>16</v>
      </c>
      <c r="U197" t="s">
        <v>25</v>
      </c>
      <c r="V197" t="s">
        <v>6</v>
      </c>
      <c r="W197">
        <v>1599</v>
      </c>
      <c r="X197">
        <v>900</v>
      </c>
    </row>
    <row r="198" spans="1:24" x14ac:dyDescent="0.3">
      <c r="A198">
        <v>1078</v>
      </c>
      <c r="B198">
        <v>22</v>
      </c>
      <c r="C198" s="1">
        <v>45977</v>
      </c>
      <c r="D198" t="s">
        <v>44</v>
      </c>
      <c r="E198" t="s">
        <v>46</v>
      </c>
      <c r="F198">
        <v>4</v>
      </c>
      <c r="G198">
        <v>22</v>
      </c>
      <c r="H198" t="s">
        <v>109</v>
      </c>
      <c r="I198" t="s">
        <v>60</v>
      </c>
      <c r="J198" t="s">
        <v>61</v>
      </c>
      <c r="K198" t="s">
        <v>58</v>
      </c>
      <c r="L198" s="1">
        <v>45444</v>
      </c>
      <c r="M198">
        <v>197</v>
      </c>
      <c r="N198">
        <v>1078</v>
      </c>
      <c r="O198">
        <v>18</v>
      </c>
      <c r="P198">
        <v>1</v>
      </c>
      <c r="Q198">
        <v>3299</v>
      </c>
      <c r="R198">
        <v>0.1</v>
      </c>
      <c r="S198">
        <v>2969</v>
      </c>
      <c r="T198">
        <v>18</v>
      </c>
      <c r="U198" t="s">
        <v>27</v>
      </c>
      <c r="V198" t="s">
        <v>19</v>
      </c>
      <c r="W198">
        <v>3299</v>
      </c>
      <c r="X198">
        <v>2050</v>
      </c>
    </row>
    <row r="199" spans="1:24" x14ac:dyDescent="0.3">
      <c r="A199">
        <v>1078</v>
      </c>
      <c r="B199">
        <v>22</v>
      </c>
      <c r="C199" s="1">
        <v>45977</v>
      </c>
      <c r="D199" t="s">
        <v>44</v>
      </c>
      <c r="E199" t="s">
        <v>46</v>
      </c>
      <c r="F199">
        <v>4</v>
      </c>
      <c r="G199">
        <v>22</v>
      </c>
      <c r="H199" t="s">
        <v>109</v>
      </c>
      <c r="I199" t="s">
        <v>60</v>
      </c>
      <c r="J199" t="s">
        <v>61</v>
      </c>
      <c r="K199" t="s">
        <v>58</v>
      </c>
      <c r="L199" s="1">
        <v>45444</v>
      </c>
      <c r="M199">
        <v>198</v>
      </c>
      <c r="N199">
        <v>1078</v>
      </c>
      <c r="O199">
        <v>13</v>
      </c>
      <c r="P199">
        <v>2</v>
      </c>
      <c r="Q199">
        <v>10999</v>
      </c>
      <c r="R199">
        <v>0</v>
      </c>
      <c r="S199">
        <v>21998</v>
      </c>
      <c r="T199">
        <v>13</v>
      </c>
      <c r="U199" t="s">
        <v>22</v>
      </c>
      <c r="V199" t="s">
        <v>6</v>
      </c>
      <c r="W199">
        <v>10999</v>
      </c>
      <c r="X199">
        <v>7900</v>
      </c>
    </row>
    <row r="200" spans="1:24" x14ac:dyDescent="0.3">
      <c r="A200">
        <v>1078</v>
      </c>
      <c r="B200">
        <v>22</v>
      </c>
      <c r="C200" s="1">
        <v>45977</v>
      </c>
      <c r="D200" t="s">
        <v>44</v>
      </c>
      <c r="E200" t="s">
        <v>46</v>
      </c>
      <c r="F200">
        <v>4</v>
      </c>
      <c r="G200">
        <v>22</v>
      </c>
      <c r="H200" t="s">
        <v>109</v>
      </c>
      <c r="I200" t="s">
        <v>60</v>
      </c>
      <c r="J200" t="s">
        <v>61</v>
      </c>
      <c r="K200" t="s">
        <v>58</v>
      </c>
      <c r="L200" s="1">
        <v>45444</v>
      </c>
      <c r="M200">
        <v>199</v>
      </c>
      <c r="N200">
        <v>1078</v>
      </c>
      <c r="O200">
        <v>11</v>
      </c>
      <c r="P200">
        <v>1</v>
      </c>
      <c r="Q200">
        <v>1099</v>
      </c>
      <c r="R200">
        <v>0</v>
      </c>
      <c r="S200">
        <v>1099</v>
      </c>
      <c r="T200">
        <v>11</v>
      </c>
      <c r="U200" t="s">
        <v>20</v>
      </c>
      <c r="V200" t="s">
        <v>19</v>
      </c>
      <c r="W200">
        <v>1099</v>
      </c>
      <c r="X200">
        <v>570</v>
      </c>
    </row>
    <row r="201" spans="1:24" x14ac:dyDescent="0.3">
      <c r="A201">
        <v>1079</v>
      </c>
      <c r="B201">
        <v>19</v>
      </c>
      <c r="C201" s="1">
        <v>45774</v>
      </c>
      <c r="D201" t="s">
        <v>44</v>
      </c>
      <c r="E201" t="s">
        <v>49</v>
      </c>
      <c r="F201">
        <v>1</v>
      </c>
      <c r="G201">
        <v>19</v>
      </c>
      <c r="H201" t="s">
        <v>104</v>
      </c>
      <c r="I201" t="s">
        <v>105</v>
      </c>
      <c r="J201" t="s">
        <v>84</v>
      </c>
      <c r="K201" t="s">
        <v>58</v>
      </c>
      <c r="L201" s="1">
        <v>45022</v>
      </c>
      <c r="M201">
        <v>200</v>
      </c>
      <c r="N201">
        <v>1079</v>
      </c>
      <c r="O201">
        <v>4</v>
      </c>
      <c r="P201">
        <v>1</v>
      </c>
      <c r="Q201">
        <v>2199</v>
      </c>
      <c r="R201">
        <v>0.2</v>
      </c>
      <c r="S201">
        <v>1759</v>
      </c>
      <c r="T201">
        <v>4</v>
      </c>
      <c r="U201" t="s">
        <v>9</v>
      </c>
      <c r="V201" t="s">
        <v>6</v>
      </c>
      <c r="W201">
        <v>2199</v>
      </c>
      <c r="X201">
        <v>1250</v>
      </c>
    </row>
    <row r="202" spans="1:24" x14ac:dyDescent="0.3">
      <c r="A202">
        <v>1080</v>
      </c>
      <c r="B202">
        <v>20</v>
      </c>
      <c r="C202" s="1">
        <v>45672</v>
      </c>
      <c r="D202" t="s">
        <v>41</v>
      </c>
      <c r="E202" t="s">
        <v>46</v>
      </c>
      <c r="F202">
        <v>3</v>
      </c>
      <c r="G202">
        <v>20</v>
      </c>
      <c r="H202" t="s">
        <v>106</v>
      </c>
      <c r="I202" t="s">
        <v>107</v>
      </c>
      <c r="J202" t="s">
        <v>87</v>
      </c>
      <c r="K202" t="s">
        <v>62</v>
      </c>
      <c r="L202" s="1">
        <v>45150</v>
      </c>
      <c r="M202">
        <v>201</v>
      </c>
      <c r="N202">
        <v>1080</v>
      </c>
      <c r="O202">
        <v>12</v>
      </c>
      <c r="P202">
        <v>1</v>
      </c>
      <c r="Q202">
        <v>399</v>
      </c>
      <c r="R202">
        <v>0.15</v>
      </c>
      <c r="S202">
        <v>339</v>
      </c>
      <c r="T202">
        <v>12</v>
      </c>
      <c r="U202" t="s">
        <v>21</v>
      </c>
      <c r="V202" t="s">
        <v>14</v>
      </c>
      <c r="W202">
        <v>399</v>
      </c>
      <c r="X202">
        <v>140</v>
      </c>
    </row>
    <row r="203" spans="1:24" x14ac:dyDescent="0.3">
      <c r="A203">
        <v>1080</v>
      </c>
      <c r="B203">
        <v>20</v>
      </c>
      <c r="C203" s="1">
        <v>45672</v>
      </c>
      <c r="D203" t="s">
        <v>41</v>
      </c>
      <c r="E203" t="s">
        <v>46</v>
      </c>
      <c r="F203">
        <v>3</v>
      </c>
      <c r="G203">
        <v>20</v>
      </c>
      <c r="H203" t="s">
        <v>106</v>
      </c>
      <c r="I203" t="s">
        <v>107</v>
      </c>
      <c r="J203" t="s">
        <v>87</v>
      </c>
      <c r="K203" t="s">
        <v>62</v>
      </c>
      <c r="L203" s="1">
        <v>45150</v>
      </c>
      <c r="M203">
        <v>202</v>
      </c>
      <c r="N203">
        <v>1080</v>
      </c>
      <c r="O203">
        <v>20</v>
      </c>
      <c r="P203">
        <v>1</v>
      </c>
      <c r="Q203">
        <v>449</v>
      </c>
      <c r="R203">
        <v>0.2</v>
      </c>
      <c r="S203">
        <v>359</v>
      </c>
      <c r="T203">
        <v>20</v>
      </c>
      <c r="U203" t="s">
        <v>29</v>
      </c>
      <c r="V203" t="s">
        <v>16</v>
      </c>
      <c r="W203">
        <v>449</v>
      </c>
      <c r="X203">
        <v>180</v>
      </c>
    </row>
    <row r="204" spans="1:24" x14ac:dyDescent="0.3">
      <c r="A204">
        <v>1080</v>
      </c>
      <c r="B204">
        <v>20</v>
      </c>
      <c r="C204" s="1">
        <v>45672</v>
      </c>
      <c r="D204" t="s">
        <v>41</v>
      </c>
      <c r="E204" t="s">
        <v>46</v>
      </c>
      <c r="F204">
        <v>3</v>
      </c>
      <c r="G204">
        <v>20</v>
      </c>
      <c r="H204" t="s">
        <v>106</v>
      </c>
      <c r="I204" t="s">
        <v>107</v>
      </c>
      <c r="J204" t="s">
        <v>87</v>
      </c>
      <c r="K204" t="s">
        <v>62</v>
      </c>
      <c r="L204" s="1">
        <v>45150</v>
      </c>
      <c r="M204">
        <v>203</v>
      </c>
      <c r="N204">
        <v>1080</v>
      </c>
      <c r="O204">
        <v>14</v>
      </c>
      <c r="P204">
        <v>2</v>
      </c>
      <c r="Q204">
        <v>2499</v>
      </c>
      <c r="R204">
        <v>0</v>
      </c>
      <c r="S204">
        <v>4998</v>
      </c>
      <c r="T204">
        <v>14</v>
      </c>
      <c r="U204" t="s">
        <v>23</v>
      </c>
      <c r="V204" t="s">
        <v>6</v>
      </c>
      <c r="W204">
        <v>2499</v>
      </c>
      <c r="X204">
        <v>1500</v>
      </c>
    </row>
    <row r="205" spans="1:24" x14ac:dyDescent="0.3">
      <c r="A205">
        <v>1081</v>
      </c>
      <c r="B205">
        <v>12</v>
      </c>
      <c r="C205" s="1">
        <v>45698</v>
      </c>
      <c r="D205" t="s">
        <v>48</v>
      </c>
      <c r="E205" t="s">
        <v>49</v>
      </c>
      <c r="F205">
        <v>0</v>
      </c>
      <c r="G205">
        <v>12</v>
      </c>
      <c r="H205" t="s">
        <v>90</v>
      </c>
      <c r="I205" t="s">
        <v>91</v>
      </c>
      <c r="J205" t="s">
        <v>61</v>
      </c>
      <c r="K205" t="s">
        <v>66</v>
      </c>
      <c r="L205" s="1">
        <v>45685</v>
      </c>
      <c r="M205">
        <v>204</v>
      </c>
      <c r="N205">
        <v>1081</v>
      </c>
      <c r="O205">
        <v>16</v>
      </c>
      <c r="P205">
        <v>1</v>
      </c>
      <c r="Q205">
        <v>1599</v>
      </c>
      <c r="R205">
        <v>0.1</v>
      </c>
      <c r="S205">
        <v>1439</v>
      </c>
      <c r="T205">
        <v>16</v>
      </c>
      <c r="U205" t="s">
        <v>25</v>
      </c>
      <c r="V205" t="s">
        <v>6</v>
      </c>
      <c r="W205">
        <v>1599</v>
      </c>
      <c r="X205">
        <v>900</v>
      </c>
    </row>
    <row r="206" spans="1:24" x14ac:dyDescent="0.3">
      <c r="A206">
        <v>1081</v>
      </c>
      <c r="B206">
        <v>12</v>
      </c>
      <c r="C206" s="1">
        <v>45698</v>
      </c>
      <c r="D206" t="s">
        <v>48</v>
      </c>
      <c r="E206" t="s">
        <v>49</v>
      </c>
      <c r="F206">
        <v>0</v>
      </c>
      <c r="G206">
        <v>12</v>
      </c>
      <c r="H206" t="s">
        <v>90</v>
      </c>
      <c r="I206" t="s">
        <v>91</v>
      </c>
      <c r="J206" t="s">
        <v>61</v>
      </c>
      <c r="K206" t="s">
        <v>66</v>
      </c>
      <c r="L206" s="1">
        <v>45685</v>
      </c>
      <c r="M206">
        <v>205</v>
      </c>
      <c r="N206">
        <v>1081</v>
      </c>
      <c r="O206">
        <v>19</v>
      </c>
      <c r="P206">
        <v>1</v>
      </c>
      <c r="Q206">
        <v>499</v>
      </c>
      <c r="R206">
        <v>0.1</v>
      </c>
      <c r="S206">
        <v>449</v>
      </c>
      <c r="T206">
        <v>19</v>
      </c>
      <c r="U206" t="s">
        <v>28</v>
      </c>
      <c r="V206" t="s">
        <v>11</v>
      </c>
      <c r="W206">
        <v>499</v>
      </c>
      <c r="X206">
        <v>220</v>
      </c>
    </row>
    <row r="207" spans="1:24" x14ac:dyDescent="0.3">
      <c r="A207">
        <v>1082</v>
      </c>
      <c r="B207">
        <v>17</v>
      </c>
      <c r="C207" s="1">
        <v>45999</v>
      </c>
      <c r="D207" t="s">
        <v>41</v>
      </c>
      <c r="E207" t="s">
        <v>49</v>
      </c>
      <c r="F207">
        <v>7</v>
      </c>
      <c r="G207">
        <v>17</v>
      </c>
      <c r="H207" t="s">
        <v>100</v>
      </c>
      <c r="I207" t="s">
        <v>101</v>
      </c>
      <c r="J207" t="s">
        <v>78</v>
      </c>
      <c r="K207" t="s">
        <v>62</v>
      </c>
      <c r="L207" s="1">
        <v>44959</v>
      </c>
      <c r="M207">
        <v>206</v>
      </c>
      <c r="N207">
        <v>1082</v>
      </c>
      <c r="O207">
        <v>18</v>
      </c>
      <c r="P207">
        <v>1</v>
      </c>
      <c r="Q207">
        <v>3299</v>
      </c>
      <c r="R207">
        <v>0.05</v>
      </c>
      <c r="S207">
        <v>3134</v>
      </c>
      <c r="T207">
        <v>18</v>
      </c>
      <c r="U207" t="s">
        <v>27</v>
      </c>
      <c r="V207" t="s">
        <v>19</v>
      </c>
      <c r="W207">
        <v>3299</v>
      </c>
      <c r="X207">
        <v>2050</v>
      </c>
    </row>
    <row r="208" spans="1:24" x14ac:dyDescent="0.3">
      <c r="A208">
        <v>1082</v>
      </c>
      <c r="B208">
        <v>17</v>
      </c>
      <c r="C208" s="1">
        <v>45999</v>
      </c>
      <c r="D208" t="s">
        <v>41</v>
      </c>
      <c r="E208" t="s">
        <v>49</v>
      </c>
      <c r="F208">
        <v>7</v>
      </c>
      <c r="G208">
        <v>17</v>
      </c>
      <c r="H208" t="s">
        <v>100</v>
      </c>
      <c r="I208" t="s">
        <v>101</v>
      </c>
      <c r="J208" t="s">
        <v>78</v>
      </c>
      <c r="K208" t="s">
        <v>62</v>
      </c>
      <c r="L208" s="1">
        <v>44959</v>
      </c>
      <c r="M208">
        <v>207</v>
      </c>
      <c r="N208">
        <v>1082</v>
      </c>
      <c r="O208">
        <v>6</v>
      </c>
      <c r="P208">
        <v>3</v>
      </c>
      <c r="Q208">
        <v>1899</v>
      </c>
      <c r="R208">
        <v>0.05</v>
      </c>
      <c r="S208">
        <v>5412</v>
      </c>
      <c r="T208">
        <v>6</v>
      </c>
      <c r="U208" t="s">
        <v>12</v>
      </c>
      <c r="V208" t="s">
        <v>11</v>
      </c>
      <c r="W208">
        <v>1899</v>
      </c>
      <c r="X208">
        <v>950</v>
      </c>
    </row>
    <row r="209" spans="1:24" x14ac:dyDescent="0.3">
      <c r="A209">
        <v>1082</v>
      </c>
      <c r="B209">
        <v>17</v>
      </c>
      <c r="C209" s="1">
        <v>45999</v>
      </c>
      <c r="D209" t="s">
        <v>41</v>
      </c>
      <c r="E209" t="s">
        <v>49</v>
      </c>
      <c r="F209">
        <v>7</v>
      </c>
      <c r="G209">
        <v>17</v>
      </c>
      <c r="H209" t="s">
        <v>100</v>
      </c>
      <c r="I209" t="s">
        <v>101</v>
      </c>
      <c r="J209" t="s">
        <v>78</v>
      </c>
      <c r="K209" t="s">
        <v>62</v>
      </c>
      <c r="L209" s="1">
        <v>44959</v>
      </c>
      <c r="M209">
        <v>208</v>
      </c>
      <c r="N209">
        <v>1082</v>
      </c>
      <c r="O209">
        <v>3</v>
      </c>
      <c r="P209">
        <v>1</v>
      </c>
      <c r="Q209">
        <v>1799</v>
      </c>
      <c r="R209">
        <v>0.1</v>
      </c>
      <c r="S209">
        <v>1619</v>
      </c>
      <c r="T209">
        <v>3</v>
      </c>
      <c r="U209" t="s">
        <v>8</v>
      </c>
      <c r="V209" t="s">
        <v>6</v>
      </c>
      <c r="W209">
        <v>1799</v>
      </c>
      <c r="X209">
        <v>980</v>
      </c>
    </row>
    <row r="210" spans="1:24" x14ac:dyDescent="0.3">
      <c r="A210">
        <v>1083</v>
      </c>
      <c r="B210">
        <v>17</v>
      </c>
      <c r="C210" s="1">
        <v>45891</v>
      </c>
      <c r="D210" t="s">
        <v>47</v>
      </c>
      <c r="E210" t="s">
        <v>43</v>
      </c>
      <c r="F210">
        <v>0</v>
      </c>
      <c r="G210">
        <v>17</v>
      </c>
      <c r="H210" t="s">
        <v>100</v>
      </c>
      <c r="I210" t="s">
        <v>101</v>
      </c>
      <c r="J210" t="s">
        <v>78</v>
      </c>
      <c r="K210" t="s">
        <v>62</v>
      </c>
      <c r="L210" s="1">
        <v>44959</v>
      </c>
      <c r="M210">
        <v>209</v>
      </c>
      <c r="N210">
        <v>1083</v>
      </c>
      <c r="O210">
        <v>13</v>
      </c>
      <c r="P210">
        <v>1</v>
      </c>
      <c r="Q210">
        <v>10999</v>
      </c>
      <c r="R210">
        <v>0.1</v>
      </c>
      <c r="S210">
        <v>9899</v>
      </c>
      <c r="T210">
        <v>13</v>
      </c>
      <c r="U210" t="s">
        <v>22</v>
      </c>
      <c r="V210" t="s">
        <v>6</v>
      </c>
      <c r="W210">
        <v>10999</v>
      </c>
      <c r="X210">
        <v>7900</v>
      </c>
    </row>
    <row r="211" spans="1:24" x14ac:dyDescent="0.3">
      <c r="A211">
        <v>1083</v>
      </c>
      <c r="B211">
        <v>17</v>
      </c>
      <c r="C211" s="1">
        <v>45891</v>
      </c>
      <c r="D211" t="s">
        <v>47</v>
      </c>
      <c r="E211" t="s">
        <v>43</v>
      </c>
      <c r="F211">
        <v>0</v>
      </c>
      <c r="G211">
        <v>17</v>
      </c>
      <c r="H211" t="s">
        <v>100</v>
      </c>
      <c r="I211" t="s">
        <v>101</v>
      </c>
      <c r="J211" t="s">
        <v>78</v>
      </c>
      <c r="K211" t="s">
        <v>62</v>
      </c>
      <c r="L211" s="1">
        <v>44959</v>
      </c>
      <c r="M211">
        <v>210</v>
      </c>
      <c r="N211">
        <v>1083</v>
      </c>
      <c r="O211">
        <v>16</v>
      </c>
      <c r="P211">
        <v>1</v>
      </c>
      <c r="Q211">
        <v>1599</v>
      </c>
      <c r="R211">
        <v>0.15</v>
      </c>
      <c r="S211">
        <v>1359</v>
      </c>
      <c r="T211">
        <v>16</v>
      </c>
      <c r="U211" t="s">
        <v>25</v>
      </c>
      <c r="V211" t="s">
        <v>6</v>
      </c>
      <c r="W211">
        <v>1599</v>
      </c>
      <c r="X211">
        <v>900</v>
      </c>
    </row>
    <row r="212" spans="1:24" x14ac:dyDescent="0.3">
      <c r="A212">
        <v>1084</v>
      </c>
      <c r="B212">
        <v>19</v>
      </c>
      <c r="C212" s="1">
        <v>46016</v>
      </c>
      <c r="D212" t="s">
        <v>41</v>
      </c>
      <c r="E212" t="s">
        <v>49</v>
      </c>
      <c r="F212">
        <v>1</v>
      </c>
      <c r="G212">
        <v>19</v>
      </c>
      <c r="H212" t="s">
        <v>104</v>
      </c>
      <c r="I212" t="s">
        <v>105</v>
      </c>
      <c r="J212" t="s">
        <v>84</v>
      </c>
      <c r="K212" t="s">
        <v>58</v>
      </c>
      <c r="L212" s="1">
        <v>45022</v>
      </c>
      <c r="M212">
        <v>211</v>
      </c>
      <c r="N212">
        <v>1084</v>
      </c>
      <c r="O212">
        <v>1</v>
      </c>
      <c r="P212">
        <v>2</v>
      </c>
      <c r="Q212">
        <v>799</v>
      </c>
      <c r="R212">
        <v>0.2</v>
      </c>
      <c r="S212">
        <v>1278</v>
      </c>
      <c r="T212">
        <v>1</v>
      </c>
      <c r="U212" t="s">
        <v>5</v>
      </c>
      <c r="V212" t="s">
        <v>6</v>
      </c>
      <c r="W212">
        <v>799</v>
      </c>
      <c r="X212">
        <v>420</v>
      </c>
    </row>
    <row r="213" spans="1:24" x14ac:dyDescent="0.3">
      <c r="A213">
        <v>1084</v>
      </c>
      <c r="B213">
        <v>19</v>
      </c>
      <c r="C213" s="1">
        <v>46016</v>
      </c>
      <c r="D213" t="s">
        <v>41</v>
      </c>
      <c r="E213" t="s">
        <v>49</v>
      </c>
      <c r="F213">
        <v>1</v>
      </c>
      <c r="G213">
        <v>19</v>
      </c>
      <c r="H213" t="s">
        <v>104</v>
      </c>
      <c r="I213" t="s">
        <v>105</v>
      </c>
      <c r="J213" t="s">
        <v>84</v>
      </c>
      <c r="K213" t="s">
        <v>58</v>
      </c>
      <c r="L213" s="1">
        <v>45022</v>
      </c>
      <c r="M213">
        <v>212</v>
      </c>
      <c r="N213">
        <v>1084</v>
      </c>
      <c r="O213">
        <v>19</v>
      </c>
      <c r="P213">
        <v>1</v>
      </c>
      <c r="Q213">
        <v>499</v>
      </c>
      <c r="R213">
        <v>0.05</v>
      </c>
      <c r="S213">
        <v>474</v>
      </c>
      <c r="T213">
        <v>19</v>
      </c>
      <c r="U213" t="s">
        <v>28</v>
      </c>
      <c r="V213" t="s">
        <v>11</v>
      </c>
      <c r="W213">
        <v>499</v>
      </c>
      <c r="X213">
        <v>220</v>
      </c>
    </row>
    <row r="214" spans="1:24" x14ac:dyDescent="0.3">
      <c r="A214">
        <v>1084</v>
      </c>
      <c r="B214">
        <v>19</v>
      </c>
      <c r="C214" s="1">
        <v>46016</v>
      </c>
      <c r="D214" t="s">
        <v>41</v>
      </c>
      <c r="E214" t="s">
        <v>49</v>
      </c>
      <c r="F214">
        <v>1</v>
      </c>
      <c r="G214">
        <v>19</v>
      </c>
      <c r="H214" t="s">
        <v>104</v>
      </c>
      <c r="I214" t="s">
        <v>105</v>
      </c>
      <c r="J214" t="s">
        <v>84</v>
      </c>
      <c r="K214" t="s">
        <v>58</v>
      </c>
      <c r="L214" s="1">
        <v>45022</v>
      </c>
      <c r="M214">
        <v>213</v>
      </c>
      <c r="N214">
        <v>1084</v>
      </c>
      <c r="O214">
        <v>2</v>
      </c>
      <c r="P214">
        <v>2</v>
      </c>
      <c r="Q214">
        <v>2499</v>
      </c>
      <c r="R214">
        <v>0</v>
      </c>
      <c r="S214">
        <v>4998</v>
      </c>
      <c r="T214">
        <v>2</v>
      </c>
      <c r="U214" t="s">
        <v>7</v>
      </c>
      <c r="V214" t="s">
        <v>6</v>
      </c>
      <c r="W214">
        <v>2499</v>
      </c>
      <c r="X214">
        <v>1500</v>
      </c>
    </row>
    <row r="215" spans="1:24" x14ac:dyDescent="0.3">
      <c r="A215">
        <v>1085</v>
      </c>
      <c r="B215">
        <v>39</v>
      </c>
      <c r="C215" s="1">
        <v>45838</v>
      </c>
      <c r="D215" t="s">
        <v>41</v>
      </c>
      <c r="E215" t="s">
        <v>42</v>
      </c>
      <c r="F215">
        <v>6</v>
      </c>
      <c r="G215">
        <v>39</v>
      </c>
      <c r="H215" t="s">
        <v>126</v>
      </c>
      <c r="I215" t="s">
        <v>105</v>
      </c>
      <c r="J215" t="s">
        <v>84</v>
      </c>
      <c r="K215" t="s">
        <v>66</v>
      </c>
      <c r="L215" s="1">
        <v>45752</v>
      </c>
      <c r="M215">
        <v>214</v>
      </c>
      <c r="N215">
        <v>1085</v>
      </c>
      <c r="O215">
        <v>5</v>
      </c>
      <c r="P215">
        <v>1</v>
      </c>
      <c r="Q215">
        <v>1299</v>
      </c>
      <c r="R215">
        <v>0.1</v>
      </c>
      <c r="S215">
        <v>1169</v>
      </c>
      <c r="T215">
        <v>5</v>
      </c>
      <c r="U215" t="s">
        <v>10</v>
      </c>
      <c r="V215" t="s">
        <v>11</v>
      </c>
      <c r="W215">
        <v>1299</v>
      </c>
      <c r="X215">
        <v>650</v>
      </c>
    </row>
    <row r="216" spans="1:24" x14ac:dyDescent="0.3">
      <c r="A216">
        <v>1085</v>
      </c>
      <c r="B216">
        <v>39</v>
      </c>
      <c r="C216" s="1">
        <v>45838</v>
      </c>
      <c r="D216" t="s">
        <v>41</v>
      </c>
      <c r="E216" t="s">
        <v>42</v>
      </c>
      <c r="F216">
        <v>6</v>
      </c>
      <c r="G216">
        <v>39</v>
      </c>
      <c r="H216" t="s">
        <v>126</v>
      </c>
      <c r="I216" t="s">
        <v>105</v>
      </c>
      <c r="J216" t="s">
        <v>84</v>
      </c>
      <c r="K216" t="s">
        <v>66</v>
      </c>
      <c r="L216" s="1">
        <v>45752</v>
      </c>
      <c r="M216">
        <v>215</v>
      </c>
      <c r="N216">
        <v>1085</v>
      </c>
      <c r="O216">
        <v>4</v>
      </c>
      <c r="P216">
        <v>1</v>
      </c>
      <c r="Q216">
        <v>2199</v>
      </c>
      <c r="R216">
        <v>0.05</v>
      </c>
      <c r="S216">
        <v>2089</v>
      </c>
      <c r="T216">
        <v>4</v>
      </c>
      <c r="U216" t="s">
        <v>9</v>
      </c>
      <c r="V216" t="s">
        <v>6</v>
      </c>
      <c r="W216">
        <v>2199</v>
      </c>
      <c r="X216">
        <v>1250</v>
      </c>
    </row>
    <row r="217" spans="1:24" x14ac:dyDescent="0.3">
      <c r="A217">
        <v>1085</v>
      </c>
      <c r="B217">
        <v>39</v>
      </c>
      <c r="C217" s="1">
        <v>45838</v>
      </c>
      <c r="D217" t="s">
        <v>41</v>
      </c>
      <c r="E217" t="s">
        <v>42</v>
      </c>
      <c r="F217">
        <v>6</v>
      </c>
      <c r="G217">
        <v>39</v>
      </c>
      <c r="H217" t="s">
        <v>126</v>
      </c>
      <c r="I217" t="s">
        <v>105</v>
      </c>
      <c r="J217" t="s">
        <v>84</v>
      </c>
      <c r="K217" t="s">
        <v>66</v>
      </c>
      <c r="L217" s="1">
        <v>45752</v>
      </c>
      <c r="M217">
        <v>216</v>
      </c>
      <c r="N217">
        <v>1085</v>
      </c>
      <c r="O217">
        <v>2</v>
      </c>
      <c r="P217">
        <v>2</v>
      </c>
      <c r="Q217">
        <v>2499</v>
      </c>
      <c r="R217">
        <v>0</v>
      </c>
      <c r="S217">
        <v>4998</v>
      </c>
      <c r="T217">
        <v>2</v>
      </c>
      <c r="U217" t="s">
        <v>7</v>
      </c>
      <c r="V217" t="s">
        <v>6</v>
      </c>
      <c r="W217">
        <v>2499</v>
      </c>
      <c r="X217">
        <v>1500</v>
      </c>
    </row>
    <row r="218" spans="1:24" x14ac:dyDescent="0.3">
      <c r="A218">
        <v>1086</v>
      </c>
      <c r="B218">
        <v>19</v>
      </c>
      <c r="C218" s="1">
        <v>45825</v>
      </c>
      <c r="D218" t="s">
        <v>44</v>
      </c>
      <c r="E218" t="s">
        <v>42</v>
      </c>
      <c r="F218">
        <v>4</v>
      </c>
      <c r="G218">
        <v>19</v>
      </c>
      <c r="H218" t="s">
        <v>104</v>
      </c>
      <c r="I218" t="s">
        <v>105</v>
      </c>
      <c r="J218" t="s">
        <v>84</v>
      </c>
      <c r="K218" t="s">
        <v>58</v>
      </c>
      <c r="L218" s="1">
        <v>45022</v>
      </c>
      <c r="M218">
        <v>217</v>
      </c>
      <c r="N218">
        <v>1086</v>
      </c>
      <c r="O218">
        <v>5</v>
      </c>
      <c r="P218">
        <v>2</v>
      </c>
      <c r="Q218">
        <v>1299</v>
      </c>
      <c r="R218">
        <v>0.05</v>
      </c>
      <c r="S218">
        <v>2468</v>
      </c>
      <c r="T218">
        <v>5</v>
      </c>
      <c r="U218" t="s">
        <v>10</v>
      </c>
      <c r="V218" t="s">
        <v>11</v>
      </c>
      <c r="W218">
        <v>1299</v>
      </c>
      <c r="X218">
        <v>650</v>
      </c>
    </row>
    <row r="219" spans="1:24" x14ac:dyDescent="0.3">
      <c r="A219">
        <v>1086</v>
      </c>
      <c r="B219">
        <v>19</v>
      </c>
      <c r="C219" s="1">
        <v>45825</v>
      </c>
      <c r="D219" t="s">
        <v>44</v>
      </c>
      <c r="E219" t="s">
        <v>42</v>
      </c>
      <c r="F219">
        <v>4</v>
      </c>
      <c r="G219">
        <v>19</v>
      </c>
      <c r="H219" t="s">
        <v>104</v>
      </c>
      <c r="I219" t="s">
        <v>105</v>
      </c>
      <c r="J219" t="s">
        <v>84</v>
      </c>
      <c r="K219" t="s">
        <v>58</v>
      </c>
      <c r="L219" s="1">
        <v>45022</v>
      </c>
      <c r="M219">
        <v>218</v>
      </c>
      <c r="N219">
        <v>1086</v>
      </c>
      <c r="O219">
        <v>18</v>
      </c>
      <c r="P219">
        <v>1</v>
      </c>
      <c r="Q219">
        <v>3299</v>
      </c>
      <c r="R219">
        <v>0.05</v>
      </c>
      <c r="S219">
        <v>3134</v>
      </c>
      <c r="T219">
        <v>18</v>
      </c>
      <c r="U219" t="s">
        <v>27</v>
      </c>
      <c r="V219" t="s">
        <v>19</v>
      </c>
      <c r="W219">
        <v>3299</v>
      </c>
      <c r="X219">
        <v>2050</v>
      </c>
    </row>
    <row r="220" spans="1:24" x14ac:dyDescent="0.3">
      <c r="A220">
        <v>1087</v>
      </c>
      <c r="B220">
        <v>11</v>
      </c>
      <c r="C220" s="1">
        <v>45789</v>
      </c>
      <c r="D220" t="s">
        <v>47</v>
      </c>
      <c r="E220" t="s">
        <v>49</v>
      </c>
      <c r="F220">
        <v>0</v>
      </c>
      <c r="G220">
        <v>11</v>
      </c>
      <c r="H220" t="s">
        <v>88</v>
      </c>
      <c r="I220" t="s">
        <v>89</v>
      </c>
      <c r="J220" t="s">
        <v>57</v>
      </c>
      <c r="K220" t="s">
        <v>62</v>
      </c>
      <c r="L220" s="1">
        <v>45619</v>
      </c>
      <c r="M220">
        <v>219</v>
      </c>
      <c r="N220">
        <v>1087</v>
      </c>
      <c r="O220">
        <v>11</v>
      </c>
      <c r="P220">
        <v>3</v>
      </c>
      <c r="Q220">
        <v>1099</v>
      </c>
      <c r="R220">
        <v>0</v>
      </c>
      <c r="S220">
        <v>3297</v>
      </c>
      <c r="T220">
        <v>11</v>
      </c>
      <c r="U220" t="s">
        <v>20</v>
      </c>
      <c r="V220" t="s">
        <v>19</v>
      </c>
      <c r="W220">
        <v>1099</v>
      </c>
      <c r="X220">
        <v>570</v>
      </c>
    </row>
    <row r="221" spans="1:24" x14ac:dyDescent="0.3">
      <c r="A221">
        <v>1087</v>
      </c>
      <c r="B221">
        <v>11</v>
      </c>
      <c r="C221" s="1">
        <v>45789</v>
      </c>
      <c r="D221" t="s">
        <v>47</v>
      </c>
      <c r="E221" t="s">
        <v>49</v>
      </c>
      <c r="F221">
        <v>0</v>
      </c>
      <c r="G221">
        <v>11</v>
      </c>
      <c r="H221" t="s">
        <v>88</v>
      </c>
      <c r="I221" t="s">
        <v>89</v>
      </c>
      <c r="J221" t="s">
        <v>57</v>
      </c>
      <c r="K221" t="s">
        <v>62</v>
      </c>
      <c r="L221" s="1">
        <v>45619</v>
      </c>
      <c r="M221">
        <v>220</v>
      </c>
      <c r="N221">
        <v>1087</v>
      </c>
      <c r="O221">
        <v>4</v>
      </c>
      <c r="P221">
        <v>2</v>
      </c>
      <c r="Q221">
        <v>2199</v>
      </c>
      <c r="R221">
        <v>0</v>
      </c>
      <c r="S221">
        <v>4398</v>
      </c>
      <c r="T221">
        <v>4</v>
      </c>
      <c r="U221" t="s">
        <v>9</v>
      </c>
      <c r="V221" t="s">
        <v>6</v>
      </c>
      <c r="W221">
        <v>2199</v>
      </c>
      <c r="X221">
        <v>1250</v>
      </c>
    </row>
    <row r="222" spans="1:24" x14ac:dyDescent="0.3">
      <c r="A222">
        <v>1087</v>
      </c>
      <c r="B222">
        <v>11</v>
      </c>
      <c r="C222" s="1">
        <v>45789</v>
      </c>
      <c r="D222" t="s">
        <v>47</v>
      </c>
      <c r="E222" t="s">
        <v>49</v>
      </c>
      <c r="F222">
        <v>0</v>
      </c>
      <c r="G222">
        <v>11</v>
      </c>
      <c r="H222" t="s">
        <v>88</v>
      </c>
      <c r="I222" t="s">
        <v>89</v>
      </c>
      <c r="J222" t="s">
        <v>57</v>
      </c>
      <c r="K222" t="s">
        <v>62</v>
      </c>
      <c r="L222" s="1">
        <v>45619</v>
      </c>
      <c r="M222">
        <v>221</v>
      </c>
      <c r="N222">
        <v>1087</v>
      </c>
      <c r="O222">
        <v>15</v>
      </c>
      <c r="P222">
        <v>2</v>
      </c>
      <c r="Q222">
        <v>349</v>
      </c>
      <c r="R222">
        <v>0.2</v>
      </c>
      <c r="S222">
        <v>558</v>
      </c>
      <c r="T222">
        <v>15</v>
      </c>
      <c r="U222" t="s">
        <v>24</v>
      </c>
      <c r="V222" t="s">
        <v>11</v>
      </c>
      <c r="W222">
        <v>349</v>
      </c>
      <c r="X222">
        <v>120</v>
      </c>
    </row>
    <row r="223" spans="1:24" x14ac:dyDescent="0.3">
      <c r="A223">
        <v>1088</v>
      </c>
      <c r="B223">
        <v>26</v>
      </c>
      <c r="C223" s="1">
        <v>45943</v>
      </c>
      <c r="D223" t="s">
        <v>41</v>
      </c>
      <c r="E223" t="s">
        <v>49</v>
      </c>
      <c r="F223">
        <v>1</v>
      </c>
      <c r="G223">
        <v>26</v>
      </c>
      <c r="H223" t="s">
        <v>113</v>
      </c>
      <c r="I223" t="s">
        <v>74</v>
      </c>
      <c r="J223" t="s">
        <v>75</v>
      </c>
      <c r="K223" t="s">
        <v>62</v>
      </c>
      <c r="L223" s="1">
        <v>45130</v>
      </c>
      <c r="M223">
        <v>222</v>
      </c>
      <c r="N223">
        <v>1088</v>
      </c>
      <c r="O223">
        <v>9</v>
      </c>
      <c r="P223">
        <v>1</v>
      </c>
      <c r="Q223">
        <v>199</v>
      </c>
      <c r="R223">
        <v>0.1</v>
      </c>
      <c r="S223">
        <v>179</v>
      </c>
      <c r="T223">
        <v>9</v>
      </c>
      <c r="U223" t="s">
        <v>17</v>
      </c>
      <c r="V223" t="s">
        <v>16</v>
      </c>
      <c r="W223">
        <v>199</v>
      </c>
      <c r="X223">
        <v>65</v>
      </c>
    </row>
    <row r="224" spans="1:24" x14ac:dyDescent="0.3">
      <c r="A224">
        <v>1089</v>
      </c>
      <c r="B224">
        <v>24</v>
      </c>
      <c r="C224" s="1">
        <v>46002</v>
      </c>
      <c r="D224" t="s">
        <v>44</v>
      </c>
      <c r="E224" t="s">
        <v>43</v>
      </c>
      <c r="F224">
        <v>6</v>
      </c>
      <c r="G224">
        <v>24</v>
      </c>
      <c r="H224" t="s">
        <v>111</v>
      </c>
      <c r="I224" t="s">
        <v>68</v>
      </c>
      <c r="J224" t="s">
        <v>69</v>
      </c>
      <c r="K224" t="s">
        <v>66</v>
      </c>
      <c r="L224" s="1">
        <v>44954</v>
      </c>
      <c r="M224">
        <v>223</v>
      </c>
      <c r="N224">
        <v>1089</v>
      </c>
      <c r="O224">
        <v>12</v>
      </c>
      <c r="P224">
        <v>1</v>
      </c>
      <c r="Q224">
        <v>399</v>
      </c>
      <c r="R224">
        <v>0.15</v>
      </c>
      <c r="S224">
        <v>339</v>
      </c>
      <c r="T224">
        <v>12</v>
      </c>
      <c r="U224" t="s">
        <v>21</v>
      </c>
      <c r="V224" t="s">
        <v>14</v>
      </c>
      <c r="W224">
        <v>399</v>
      </c>
      <c r="X224">
        <v>140</v>
      </c>
    </row>
    <row r="225" spans="1:24" x14ac:dyDescent="0.3">
      <c r="A225">
        <v>1089</v>
      </c>
      <c r="B225">
        <v>24</v>
      </c>
      <c r="C225" s="1">
        <v>46002</v>
      </c>
      <c r="D225" t="s">
        <v>44</v>
      </c>
      <c r="E225" t="s">
        <v>43</v>
      </c>
      <c r="F225">
        <v>6</v>
      </c>
      <c r="G225">
        <v>24</v>
      </c>
      <c r="H225" t="s">
        <v>111</v>
      </c>
      <c r="I225" t="s">
        <v>68</v>
      </c>
      <c r="J225" t="s">
        <v>69</v>
      </c>
      <c r="K225" t="s">
        <v>66</v>
      </c>
      <c r="L225" s="1">
        <v>44954</v>
      </c>
      <c r="M225">
        <v>224</v>
      </c>
      <c r="N225">
        <v>1089</v>
      </c>
      <c r="O225">
        <v>4</v>
      </c>
      <c r="P225">
        <v>1</v>
      </c>
      <c r="Q225">
        <v>2199</v>
      </c>
      <c r="R225">
        <v>0.15</v>
      </c>
      <c r="S225">
        <v>1869</v>
      </c>
      <c r="T225">
        <v>4</v>
      </c>
      <c r="U225" t="s">
        <v>9</v>
      </c>
      <c r="V225" t="s">
        <v>6</v>
      </c>
      <c r="W225">
        <v>2199</v>
      </c>
      <c r="X225">
        <v>1250</v>
      </c>
    </row>
    <row r="226" spans="1:24" x14ac:dyDescent="0.3">
      <c r="A226">
        <v>1089</v>
      </c>
      <c r="B226">
        <v>24</v>
      </c>
      <c r="C226" s="1">
        <v>46002</v>
      </c>
      <c r="D226" t="s">
        <v>44</v>
      </c>
      <c r="E226" t="s">
        <v>43</v>
      </c>
      <c r="F226">
        <v>6</v>
      </c>
      <c r="G226">
        <v>24</v>
      </c>
      <c r="H226" t="s">
        <v>111</v>
      </c>
      <c r="I226" t="s">
        <v>68</v>
      </c>
      <c r="J226" t="s">
        <v>69</v>
      </c>
      <c r="K226" t="s">
        <v>66</v>
      </c>
      <c r="L226" s="1">
        <v>44954</v>
      </c>
      <c r="M226">
        <v>225</v>
      </c>
      <c r="N226">
        <v>1089</v>
      </c>
      <c r="O226">
        <v>8</v>
      </c>
      <c r="P226">
        <v>1</v>
      </c>
      <c r="Q226">
        <v>299</v>
      </c>
      <c r="R226">
        <v>0</v>
      </c>
      <c r="S226">
        <v>299</v>
      </c>
      <c r="T226">
        <v>8</v>
      </c>
      <c r="U226" t="s">
        <v>15</v>
      </c>
      <c r="V226" t="s">
        <v>16</v>
      </c>
      <c r="W226">
        <v>299</v>
      </c>
      <c r="X226">
        <v>110</v>
      </c>
    </row>
    <row r="227" spans="1:24" x14ac:dyDescent="0.3">
      <c r="A227">
        <v>1089</v>
      </c>
      <c r="B227">
        <v>24</v>
      </c>
      <c r="C227" s="1">
        <v>46002</v>
      </c>
      <c r="D227" t="s">
        <v>44</v>
      </c>
      <c r="E227" t="s">
        <v>43</v>
      </c>
      <c r="F227">
        <v>6</v>
      </c>
      <c r="G227">
        <v>24</v>
      </c>
      <c r="H227" t="s">
        <v>111</v>
      </c>
      <c r="I227" t="s">
        <v>68</v>
      </c>
      <c r="J227" t="s">
        <v>69</v>
      </c>
      <c r="K227" t="s">
        <v>66</v>
      </c>
      <c r="L227" s="1">
        <v>44954</v>
      </c>
      <c r="M227">
        <v>226</v>
      </c>
      <c r="N227">
        <v>1089</v>
      </c>
      <c r="O227">
        <v>16</v>
      </c>
      <c r="P227">
        <v>1</v>
      </c>
      <c r="Q227">
        <v>1599</v>
      </c>
      <c r="R227">
        <v>0.1</v>
      </c>
      <c r="S227">
        <v>1439</v>
      </c>
      <c r="T227">
        <v>16</v>
      </c>
      <c r="U227" t="s">
        <v>25</v>
      </c>
      <c r="V227" t="s">
        <v>6</v>
      </c>
      <c r="W227">
        <v>1599</v>
      </c>
      <c r="X227">
        <v>900</v>
      </c>
    </row>
    <row r="228" spans="1:24" x14ac:dyDescent="0.3">
      <c r="A228">
        <v>1090</v>
      </c>
      <c r="B228">
        <v>20</v>
      </c>
      <c r="C228" s="1">
        <v>45990</v>
      </c>
      <c r="D228" t="s">
        <v>41</v>
      </c>
      <c r="E228" t="s">
        <v>42</v>
      </c>
      <c r="F228">
        <v>1</v>
      </c>
      <c r="G228">
        <v>20</v>
      </c>
      <c r="H228" t="s">
        <v>106</v>
      </c>
      <c r="I228" t="s">
        <v>107</v>
      </c>
      <c r="J228" t="s">
        <v>87</v>
      </c>
      <c r="K228" t="s">
        <v>62</v>
      </c>
      <c r="L228" s="1">
        <v>45150</v>
      </c>
      <c r="M228">
        <v>227</v>
      </c>
      <c r="N228">
        <v>1090</v>
      </c>
      <c r="O228">
        <v>2</v>
      </c>
      <c r="P228">
        <v>1</v>
      </c>
      <c r="Q228">
        <v>2499</v>
      </c>
      <c r="R228">
        <v>0.1</v>
      </c>
      <c r="S228">
        <v>2249</v>
      </c>
      <c r="T228">
        <v>2</v>
      </c>
      <c r="U228" t="s">
        <v>7</v>
      </c>
      <c r="V228" t="s">
        <v>6</v>
      </c>
      <c r="W228">
        <v>2499</v>
      </c>
      <c r="X228">
        <v>1500</v>
      </c>
    </row>
    <row r="229" spans="1:24" x14ac:dyDescent="0.3">
      <c r="A229">
        <v>1091</v>
      </c>
      <c r="B229">
        <v>8</v>
      </c>
      <c r="C229" s="1">
        <v>45707</v>
      </c>
      <c r="D229" t="s">
        <v>41</v>
      </c>
      <c r="E229" t="s">
        <v>42</v>
      </c>
      <c r="F229">
        <v>5</v>
      </c>
      <c r="G229">
        <v>8</v>
      </c>
      <c r="H229" t="s">
        <v>79</v>
      </c>
      <c r="I229" t="s">
        <v>80</v>
      </c>
      <c r="J229" t="s">
        <v>81</v>
      </c>
      <c r="K229" t="s">
        <v>62</v>
      </c>
      <c r="L229" s="1">
        <v>45069</v>
      </c>
      <c r="M229">
        <v>228</v>
      </c>
      <c r="N229">
        <v>1091</v>
      </c>
      <c r="O229">
        <v>15</v>
      </c>
      <c r="P229">
        <v>1</v>
      </c>
      <c r="Q229">
        <v>349</v>
      </c>
      <c r="R229">
        <v>0.2</v>
      </c>
      <c r="S229">
        <v>279</v>
      </c>
      <c r="T229">
        <v>15</v>
      </c>
      <c r="U229" t="s">
        <v>24</v>
      </c>
      <c r="V229" t="s">
        <v>11</v>
      </c>
      <c r="W229">
        <v>349</v>
      </c>
      <c r="X229">
        <v>120</v>
      </c>
    </row>
    <row r="230" spans="1:24" x14ac:dyDescent="0.3">
      <c r="A230">
        <v>1091</v>
      </c>
      <c r="B230">
        <v>8</v>
      </c>
      <c r="C230" s="1">
        <v>45707</v>
      </c>
      <c r="D230" t="s">
        <v>41</v>
      </c>
      <c r="E230" t="s">
        <v>42</v>
      </c>
      <c r="F230">
        <v>5</v>
      </c>
      <c r="G230">
        <v>8</v>
      </c>
      <c r="H230" t="s">
        <v>79</v>
      </c>
      <c r="I230" t="s">
        <v>80</v>
      </c>
      <c r="J230" t="s">
        <v>81</v>
      </c>
      <c r="K230" t="s">
        <v>62</v>
      </c>
      <c r="L230" s="1">
        <v>45069</v>
      </c>
      <c r="M230">
        <v>229</v>
      </c>
      <c r="N230">
        <v>1091</v>
      </c>
      <c r="O230">
        <v>12</v>
      </c>
      <c r="P230">
        <v>1</v>
      </c>
      <c r="Q230">
        <v>399</v>
      </c>
      <c r="R230">
        <v>0.1</v>
      </c>
      <c r="S230">
        <v>359</v>
      </c>
      <c r="T230">
        <v>12</v>
      </c>
      <c r="U230" t="s">
        <v>21</v>
      </c>
      <c r="V230" t="s">
        <v>14</v>
      </c>
      <c r="W230">
        <v>399</v>
      </c>
      <c r="X230">
        <v>140</v>
      </c>
    </row>
    <row r="231" spans="1:24" x14ac:dyDescent="0.3">
      <c r="A231">
        <v>1091</v>
      </c>
      <c r="B231">
        <v>8</v>
      </c>
      <c r="C231" s="1">
        <v>45707</v>
      </c>
      <c r="D231" t="s">
        <v>41</v>
      </c>
      <c r="E231" t="s">
        <v>42</v>
      </c>
      <c r="F231">
        <v>5</v>
      </c>
      <c r="G231">
        <v>8</v>
      </c>
      <c r="H231" t="s">
        <v>79</v>
      </c>
      <c r="I231" t="s">
        <v>80</v>
      </c>
      <c r="J231" t="s">
        <v>81</v>
      </c>
      <c r="K231" t="s">
        <v>62</v>
      </c>
      <c r="L231" s="1">
        <v>45069</v>
      </c>
      <c r="M231">
        <v>230</v>
      </c>
      <c r="N231">
        <v>1091</v>
      </c>
      <c r="O231">
        <v>18</v>
      </c>
      <c r="P231">
        <v>2</v>
      </c>
      <c r="Q231">
        <v>3299</v>
      </c>
      <c r="R231">
        <v>0.1</v>
      </c>
      <c r="S231">
        <v>5938</v>
      </c>
      <c r="T231">
        <v>18</v>
      </c>
      <c r="U231" t="s">
        <v>27</v>
      </c>
      <c r="V231" t="s">
        <v>19</v>
      </c>
      <c r="W231">
        <v>3299</v>
      </c>
      <c r="X231">
        <v>2050</v>
      </c>
    </row>
    <row r="232" spans="1:24" x14ac:dyDescent="0.3">
      <c r="A232">
        <v>1091</v>
      </c>
      <c r="B232">
        <v>8</v>
      </c>
      <c r="C232" s="1">
        <v>45707</v>
      </c>
      <c r="D232" t="s">
        <v>41</v>
      </c>
      <c r="E232" t="s">
        <v>42</v>
      </c>
      <c r="F232">
        <v>5</v>
      </c>
      <c r="G232">
        <v>8</v>
      </c>
      <c r="H232" t="s">
        <v>79</v>
      </c>
      <c r="I232" t="s">
        <v>80</v>
      </c>
      <c r="J232" t="s">
        <v>81</v>
      </c>
      <c r="K232" t="s">
        <v>62</v>
      </c>
      <c r="L232" s="1">
        <v>45069</v>
      </c>
      <c r="M232">
        <v>231</v>
      </c>
      <c r="N232">
        <v>1091</v>
      </c>
      <c r="O232">
        <v>14</v>
      </c>
      <c r="P232">
        <v>1</v>
      </c>
      <c r="Q232">
        <v>2499</v>
      </c>
      <c r="R232">
        <v>0.05</v>
      </c>
      <c r="S232">
        <v>2374</v>
      </c>
      <c r="T232">
        <v>14</v>
      </c>
      <c r="U232" t="s">
        <v>23</v>
      </c>
      <c r="V232" t="s">
        <v>6</v>
      </c>
      <c r="W232">
        <v>2499</v>
      </c>
      <c r="X232">
        <v>1500</v>
      </c>
    </row>
    <row r="233" spans="1:24" x14ac:dyDescent="0.3">
      <c r="A233">
        <v>1092</v>
      </c>
      <c r="B233">
        <v>3</v>
      </c>
      <c r="C233" s="1">
        <v>46011</v>
      </c>
      <c r="D233" t="s">
        <v>41</v>
      </c>
      <c r="E233" t="s">
        <v>49</v>
      </c>
      <c r="F233">
        <v>2</v>
      </c>
      <c r="G233">
        <v>3</v>
      </c>
      <c r="H233" t="s">
        <v>63</v>
      </c>
      <c r="I233" t="s">
        <v>64</v>
      </c>
      <c r="J233" t="s">
        <v>65</v>
      </c>
      <c r="K233" t="s">
        <v>66</v>
      </c>
      <c r="L233" s="1">
        <v>44952</v>
      </c>
      <c r="M233">
        <v>232</v>
      </c>
      <c r="N233">
        <v>1092</v>
      </c>
      <c r="O233">
        <v>8</v>
      </c>
      <c r="P233">
        <v>1</v>
      </c>
      <c r="Q233">
        <v>299</v>
      </c>
      <c r="R233">
        <v>0.2</v>
      </c>
      <c r="S233">
        <v>239</v>
      </c>
      <c r="T233">
        <v>8</v>
      </c>
      <c r="U233" t="s">
        <v>15</v>
      </c>
      <c r="V233" t="s">
        <v>16</v>
      </c>
      <c r="W233">
        <v>299</v>
      </c>
      <c r="X233">
        <v>110</v>
      </c>
    </row>
    <row r="234" spans="1:24" x14ac:dyDescent="0.3">
      <c r="A234">
        <v>1092</v>
      </c>
      <c r="B234">
        <v>3</v>
      </c>
      <c r="C234" s="1">
        <v>46011</v>
      </c>
      <c r="D234" t="s">
        <v>41</v>
      </c>
      <c r="E234" t="s">
        <v>49</v>
      </c>
      <c r="F234">
        <v>2</v>
      </c>
      <c r="G234">
        <v>3</v>
      </c>
      <c r="H234" t="s">
        <v>63</v>
      </c>
      <c r="I234" t="s">
        <v>64</v>
      </c>
      <c r="J234" t="s">
        <v>65</v>
      </c>
      <c r="K234" t="s">
        <v>66</v>
      </c>
      <c r="L234" s="1">
        <v>44952</v>
      </c>
      <c r="M234">
        <v>233</v>
      </c>
      <c r="N234">
        <v>1092</v>
      </c>
      <c r="O234">
        <v>12</v>
      </c>
      <c r="P234">
        <v>1</v>
      </c>
      <c r="Q234">
        <v>399</v>
      </c>
      <c r="R234">
        <v>0.1</v>
      </c>
      <c r="S234">
        <v>359</v>
      </c>
      <c r="T234">
        <v>12</v>
      </c>
      <c r="U234" t="s">
        <v>21</v>
      </c>
      <c r="V234" t="s">
        <v>14</v>
      </c>
      <c r="W234">
        <v>399</v>
      </c>
      <c r="X234">
        <v>140</v>
      </c>
    </row>
    <row r="235" spans="1:24" x14ac:dyDescent="0.3">
      <c r="A235">
        <v>1092</v>
      </c>
      <c r="B235">
        <v>3</v>
      </c>
      <c r="C235" s="1">
        <v>46011</v>
      </c>
      <c r="D235" t="s">
        <v>41</v>
      </c>
      <c r="E235" t="s">
        <v>49</v>
      </c>
      <c r="F235">
        <v>2</v>
      </c>
      <c r="G235">
        <v>3</v>
      </c>
      <c r="H235" t="s">
        <v>63</v>
      </c>
      <c r="I235" t="s">
        <v>64</v>
      </c>
      <c r="J235" t="s">
        <v>65</v>
      </c>
      <c r="K235" t="s">
        <v>66</v>
      </c>
      <c r="L235" s="1">
        <v>44952</v>
      </c>
      <c r="M235">
        <v>234</v>
      </c>
      <c r="N235">
        <v>1092</v>
      </c>
      <c r="O235">
        <v>4</v>
      </c>
      <c r="P235">
        <v>1</v>
      </c>
      <c r="Q235">
        <v>2199</v>
      </c>
      <c r="R235">
        <v>0</v>
      </c>
      <c r="S235">
        <v>2199</v>
      </c>
      <c r="T235">
        <v>4</v>
      </c>
      <c r="U235" t="s">
        <v>9</v>
      </c>
      <c r="V235" t="s">
        <v>6</v>
      </c>
      <c r="W235">
        <v>2199</v>
      </c>
      <c r="X235">
        <v>1250</v>
      </c>
    </row>
    <row r="236" spans="1:24" x14ac:dyDescent="0.3">
      <c r="A236">
        <v>1092</v>
      </c>
      <c r="B236">
        <v>3</v>
      </c>
      <c r="C236" s="1">
        <v>46011</v>
      </c>
      <c r="D236" t="s">
        <v>41</v>
      </c>
      <c r="E236" t="s">
        <v>49</v>
      </c>
      <c r="F236">
        <v>2</v>
      </c>
      <c r="G236">
        <v>3</v>
      </c>
      <c r="H236" t="s">
        <v>63</v>
      </c>
      <c r="I236" t="s">
        <v>64</v>
      </c>
      <c r="J236" t="s">
        <v>65</v>
      </c>
      <c r="K236" t="s">
        <v>66</v>
      </c>
      <c r="L236" s="1">
        <v>44952</v>
      </c>
      <c r="M236">
        <v>235</v>
      </c>
      <c r="N236">
        <v>1092</v>
      </c>
      <c r="O236">
        <v>19</v>
      </c>
      <c r="P236">
        <v>3</v>
      </c>
      <c r="Q236">
        <v>499</v>
      </c>
      <c r="R236">
        <v>0.1</v>
      </c>
      <c r="S236">
        <v>1347</v>
      </c>
      <c r="T236">
        <v>19</v>
      </c>
      <c r="U236" t="s">
        <v>28</v>
      </c>
      <c r="V236" t="s">
        <v>11</v>
      </c>
      <c r="W236">
        <v>499</v>
      </c>
      <c r="X236">
        <v>220</v>
      </c>
    </row>
    <row r="237" spans="1:24" x14ac:dyDescent="0.3">
      <c r="A237">
        <v>1093</v>
      </c>
      <c r="B237">
        <v>6</v>
      </c>
      <c r="C237" s="1">
        <v>45997</v>
      </c>
      <c r="D237" t="s">
        <v>41</v>
      </c>
      <c r="E237" t="s">
        <v>45</v>
      </c>
      <c r="F237">
        <v>6</v>
      </c>
      <c r="G237">
        <v>6</v>
      </c>
      <c r="H237" t="s">
        <v>73</v>
      </c>
      <c r="I237" t="s">
        <v>74</v>
      </c>
      <c r="J237" t="s">
        <v>75</v>
      </c>
      <c r="K237" t="s">
        <v>66</v>
      </c>
      <c r="L237" s="1">
        <v>45177</v>
      </c>
      <c r="M237">
        <v>236</v>
      </c>
      <c r="N237">
        <v>1093</v>
      </c>
      <c r="O237">
        <v>2</v>
      </c>
      <c r="P237">
        <v>2</v>
      </c>
      <c r="Q237">
        <v>2499</v>
      </c>
      <c r="R237">
        <v>0</v>
      </c>
      <c r="S237">
        <v>4998</v>
      </c>
      <c r="T237">
        <v>2</v>
      </c>
      <c r="U237" t="s">
        <v>7</v>
      </c>
      <c r="V237" t="s">
        <v>6</v>
      </c>
      <c r="W237">
        <v>2499</v>
      </c>
      <c r="X237">
        <v>1500</v>
      </c>
    </row>
    <row r="238" spans="1:24" x14ac:dyDescent="0.3">
      <c r="A238">
        <v>1094</v>
      </c>
      <c r="B238">
        <v>9</v>
      </c>
      <c r="C238" s="1">
        <v>45947</v>
      </c>
      <c r="D238" t="s">
        <v>41</v>
      </c>
      <c r="E238" t="s">
        <v>45</v>
      </c>
      <c r="F238">
        <v>1</v>
      </c>
      <c r="G238">
        <v>9</v>
      </c>
      <c r="H238" t="s">
        <v>82</v>
      </c>
      <c r="I238" t="s">
        <v>83</v>
      </c>
      <c r="J238" t="s">
        <v>84</v>
      </c>
      <c r="K238" t="s">
        <v>66</v>
      </c>
      <c r="L238" s="1">
        <v>45681</v>
      </c>
      <c r="M238">
        <v>237</v>
      </c>
      <c r="N238">
        <v>1094</v>
      </c>
      <c r="O238">
        <v>19</v>
      </c>
      <c r="P238">
        <v>2</v>
      </c>
      <c r="Q238">
        <v>499</v>
      </c>
      <c r="R238">
        <v>0</v>
      </c>
      <c r="S238">
        <v>998</v>
      </c>
      <c r="T238">
        <v>19</v>
      </c>
      <c r="U238" t="s">
        <v>28</v>
      </c>
      <c r="V238" t="s">
        <v>11</v>
      </c>
      <c r="W238">
        <v>499</v>
      </c>
      <c r="X238">
        <v>220</v>
      </c>
    </row>
    <row r="239" spans="1:24" x14ac:dyDescent="0.3">
      <c r="A239">
        <v>1094</v>
      </c>
      <c r="B239">
        <v>9</v>
      </c>
      <c r="C239" s="1">
        <v>45947</v>
      </c>
      <c r="D239" t="s">
        <v>41</v>
      </c>
      <c r="E239" t="s">
        <v>45</v>
      </c>
      <c r="F239">
        <v>1</v>
      </c>
      <c r="G239">
        <v>9</v>
      </c>
      <c r="H239" t="s">
        <v>82</v>
      </c>
      <c r="I239" t="s">
        <v>83</v>
      </c>
      <c r="J239" t="s">
        <v>84</v>
      </c>
      <c r="K239" t="s">
        <v>66</v>
      </c>
      <c r="L239" s="1">
        <v>45681</v>
      </c>
      <c r="M239">
        <v>238</v>
      </c>
      <c r="N239">
        <v>1094</v>
      </c>
      <c r="O239">
        <v>7</v>
      </c>
      <c r="P239">
        <v>1</v>
      </c>
      <c r="Q239">
        <v>999</v>
      </c>
      <c r="R239">
        <v>0</v>
      </c>
      <c r="S239">
        <v>999</v>
      </c>
      <c r="T239">
        <v>7</v>
      </c>
      <c r="U239" t="s">
        <v>13</v>
      </c>
      <c r="V239" t="s">
        <v>14</v>
      </c>
      <c r="W239">
        <v>999</v>
      </c>
      <c r="X239">
        <v>480</v>
      </c>
    </row>
    <row r="240" spans="1:24" x14ac:dyDescent="0.3">
      <c r="A240">
        <v>1095</v>
      </c>
      <c r="B240">
        <v>39</v>
      </c>
      <c r="C240" s="1">
        <v>45659</v>
      </c>
      <c r="D240" t="s">
        <v>41</v>
      </c>
      <c r="E240" t="s">
        <v>42</v>
      </c>
      <c r="F240">
        <v>7</v>
      </c>
      <c r="G240">
        <v>39</v>
      </c>
      <c r="H240" t="s">
        <v>126</v>
      </c>
      <c r="I240" t="s">
        <v>105</v>
      </c>
      <c r="J240" t="s">
        <v>84</v>
      </c>
      <c r="K240" t="s">
        <v>66</v>
      </c>
      <c r="L240" s="1">
        <v>45752</v>
      </c>
      <c r="M240">
        <v>239</v>
      </c>
      <c r="N240">
        <v>1095</v>
      </c>
      <c r="O240">
        <v>18</v>
      </c>
      <c r="P240">
        <v>2</v>
      </c>
      <c r="Q240">
        <v>3299</v>
      </c>
      <c r="R240">
        <v>0</v>
      </c>
      <c r="S240">
        <v>6598</v>
      </c>
      <c r="T240">
        <v>18</v>
      </c>
      <c r="U240" t="s">
        <v>27</v>
      </c>
      <c r="V240" t="s">
        <v>19</v>
      </c>
      <c r="W240">
        <v>3299</v>
      </c>
      <c r="X240">
        <v>2050</v>
      </c>
    </row>
    <row r="241" spans="1:24" x14ac:dyDescent="0.3">
      <c r="A241">
        <v>1095</v>
      </c>
      <c r="B241">
        <v>39</v>
      </c>
      <c r="C241" s="1">
        <v>45659</v>
      </c>
      <c r="D241" t="s">
        <v>41</v>
      </c>
      <c r="E241" t="s">
        <v>42</v>
      </c>
      <c r="F241">
        <v>7</v>
      </c>
      <c r="G241">
        <v>39</v>
      </c>
      <c r="H241" t="s">
        <v>126</v>
      </c>
      <c r="I241" t="s">
        <v>105</v>
      </c>
      <c r="J241" t="s">
        <v>84</v>
      </c>
      <c r="K241" t="s">
        <v>66</v>
      </c>
      <c r="L241" s="1">
        <v>45752</v>
      </c>
      <c r="M241">
        <v>240</v>
      </c>
      <c r="N241">
        <v>1095</v>
      </c>
      <c r="O241">
        <v>9</v>
      </c>
      <c r="P241">
        <v>2</v>
      </c>
      <c r="Q241">
        <v>199</v>
      </c>
      <c r="R241">
        <v>0</v>
      </c>
      <c r="S241">
        <v>398</v>
      </c>
      <c r="T241">
        <v>9</v>
      </c>
      <c r="U241" t="s">
        <v>17</v>
      </c>
      <c r="V241" t="s">
        <v>16</v>
      </c>
      <c r="W241">
        <v>199</v>
      </c>
      <c r="X241">
        <v>65</v>
      </c>
    </row>
    <row r="242" spans="1:24" x14ac:dyDescent="0.3">
      <c r="A242">
        <v>1096</v>
      </c>
      <c r="B242">
        <v>9</v>
      </c>
      <c r="C242" s="1">
        <v>45665</v>
      </c>
      <c r="D242" t="s">
        <v>41</v>
      </c>
      <c r="E242" t="s">
        <v>42</v>
      </c>
      <c r="F242">
        <v>7</v>
      </c>
      <c r="G242">
        <v>9</v>
      </c>
      <c r="H242" t="s">
        <v>82</v>
      </c>
      <c r="I242" t="s">
        <v>83</v>
      </c>
      <c r="J242" t="s">
        <v>84</v>
      </c>
      <c r="K242" t="s">
        <v>66</v>
      </c>
      <c r="L242" s="1">
        <v>45681</v>
      </c>
      <c r="M242">
        <v>241</v>
      </c>
      <c r="N242">
        <v>1096</v>
      </c>
      <c r="O242">
        <v>1</v>
      </c>
      <c r="P242">
        <v>1</v>
      </c>
      <c r="Q242">
        <v>799</v>
      </c>
      <c r="R242">
        <v>0.2</v>
      </c>
      <c r="S242">
        <v>639</v>
      </c>
      <c r="T242">
        <v>1</v>
      </c>
      <c r="U242" t="s">
        <v>5</v>
      </c>
      <c r="V242" t="s">
        <v>6</v>
      </c>
      <c r="W242">
        <v>799</v>
      </c>
      <c r="X242">
        <v>420</v>
      </c>
    </row>
    <row r="243" spans="1:24" x14ac:dyDescent="0.3">
      <c r="A243">
        <v>1096</v>
      </c>
      <c r="B243">
        <v>9</v>
      </c>
      <c r="C243" s="1">
        <v>45665</v>
      </c>
      <c r="D243" t="s">
        <v>41</v>
      </c>
      <c r="E243" t="s">
        <v>42</v>
      </c>
      <c r="F243">
        <v>7</v>
      </c>
      <c r="G243">
        <v>9</v>
      </c>
      <c r="H243" t="s">
        <v>82</v>
      </c>
      <c r="I243" t="s">
        <v>83</v>
      </c>
      <c r="J243" t="s">
        <v>84</v>
      </c>
      <c r="K243" t="s">
        <v>66</v>
      </c>
      <c r="L243" s="1">
        <v>45681</v>
      </c>
      <c r="M243">
        <v>242</v>
      </c>
      <c r="N243">
        <v>1096</v>
      </c>
      <c r="O243">
        <v>6</v>
      </c>
      <c r="P243">
        <v>1</v>
      </c>
      <c r="Q243">
        <v>1899</v>
      </c>
      <c r="R243">
        <v>0</v>
      </c>
      <c r="S243">
        <v>1899</v>
      </c>
      <c r="T243">
        <v>6</v>
      </c>
      <c r="U243" t="s">
        <v>12</v>
      </c>
      <c r="V243" t="s">
        <v>11</v>
      </c>
      <c r="W243">
        <v>1899</v>
      </c>
      <c r="X243">
        <v>950</v>
      </c>
    </row>
    <row r="244" spans="1:24" x14ac:dyDescent="0.3">
      <c r="A244">
        <v>1096</v>
      </c>
      <c r="B244">
        <v>9</v>
      </c>
      <c r="C244" s="1">
        <v>45665</v>
      </c>
      <c r="D244" t="s">
        <v>41</v>
      </c>
      <c r="E244" t="s">
        <v>42</v>
      </c>
      <c r="F244">
        <v>7</v>
      </c>
      <c r="G244">
        <v>9</v>
      </c>
      <c r="H244" t="s">
        <v>82</v>
      </c>
      <c r="I244" t="s">
        <v>83</v>
      </c>
      <c r="J244" t="s">
        <v>84</v>
      </c>
      <c r="K244" t="s">
        <v>66</v>
      </c>
      <c r="L244" s="1">
        <v>45681</v>
      </c>
      <c r="M244">
        <v>243</v>
      </c>
      <c r="N244">
        <v>1096</v>
      </c>
      <c r="O244">
        <v>9</v>
      </c>
      <c r="P244">
        <v>2</v>
      </c>
      <c r="Q244">
        <v>199</v>
      </c>
      <c r="R244">
        <v>0.1</v>
      </c>
      <c r="S244">
        <v>358</v>
      </c>
      <c r="T244">
        <v>9</v>
      </c>
      <c r="U244" t="s">
        <v>17</v>
      </c>
      <c r="V244" t="s">
        <v>16</v>
      </c>
      <c r="W244">
        <v>199</v>
      </c>
      <c r="X244">
        <v>65</v>
      </c>
    </row>
    <row r="245" spans="1:24" x14ac:dyDescent="0.3">
      <c r="A245">
        <v>1097</v>
      </c>
      <c r="B245">
        <v>29</v>
      </c>
      <c r="C245" s="1">
        <v>45843</v>
      </c>
      <c r="D245" t="s">
        <v>48</v>
      </c>
      <c r="E245" t="s">
        <v>45</v>
      </c>
      <c r="F245">
        <v>0</v>
      </c>
      <c r="G245">
        <v>29</v>
      </c>
      <c r="H245" t="s">
        <v>116</v>
      </c>
      <c r="I245" t="s">
        <v>83</v>
      </c>
      <c r="J245" t="s">
        <v>84</v>
      </c>
      <c r="K245" t="s">
        <v>62</v>
      </c>
      <c r="L245" s="1">
        <v>45645</v>
      </c>
      <c r="M245">
        <v>244</v>
      </c>
      <c r="N245">
        <v>1097</v>
      </c>
      <c r="O245">
        <v>15</v>
      </c>
      <c r="P245">
        <v>1</v>
      </c>
      <c r="Q245">
        <v>349</v>
      </c>
      <c r="R245">
        <v>0.15</v>
      </c>
      <c r="S245">
        <v>297</v>
      </c>
      <c r="T245">
        <v>15</v>
      </c>
      <c r="U245" t="s">
        <v>24</v>
      </c>
      <c r="V245" t="s">
        <v>11</v>
      </c>
      <c r="W245">
        <v>349</v>
      </c>
      <c r="X245">
        <v>120</v>
      </c>
    </row>
    <row r="246" spans="1:24" x14ac:dyDescent="0.3">
      <c r="A246">
        <v>1098</v>
      </c>
      <c r="B246">
        <v>3</v>
      </c>
      <c r="C246" s="1">
        <v>45995</v>
      </c>
      <c r="D246" t="s">
        <v>48</v>
      </c>
      <c r="E246" t="s">
        <v>43</v>
      </c>
      <c r="F246">
        <v>0</v>
      </c>
      <c r="G246">
        <v>3</v>
      </c>
      <c r="H246" t="s">
        <v>63</v>
      </c>
      <c r="I246" t="s">
        <v>64</v>
      </c>
      <c r="J246" t="s">
        <v>65</v>
      </c>
      <c r="K246" t="s">
        <v>66</v>
      </c>
      <c r="L246" s="1">
        <v>44952</v>
      </c>
      <c r="M246">
        <v>245</v>
      </c>
      <c r="N246">
        <v>1098</v>
      </c>
      <c r="O246">
        <v>1</v>
      </c>
      <c r="P246">
        <v>1</v>
      </c>
      <c r="Q246">
        <v>799</v>
      </c>
      <c r="R246">
        <v>0</v>
      </c>
      <c r="S246">
        <v>799</v>
      </c>
      <c r="T246">
        <v>1</v>
      </c>
      <c r="U246" t="s">
        <v>5</v>
      </c>
      <c r="V246" t="s">
        <v>6</v>
      </c>
      <c r="W246">
        <v>799</v>
      </c>
      <c r="X246">
        <v>420</v>
      </c>
    </row>
    <row r="247" spans="1:24" x14ac:dyDescent="0.3">
      <c r="A247">
        <v>1098</v>
      </c>
      <c r="B247">
        <v>3</v>
      </c>
      <c r="C247" s="1">
        <v>45995</v>
      </c>
      <c r="D247" t="s">
        <v>48</v>
      </c>
      <c r="E247" t="s">
        <v>43</v>
      </c>
      <c r="F247">
        <v>0</v>
      </c>
      <c r="G247">
        <v>3</v>
      </c>
      <c r="H247" t="s">
        <v>63</v>
      </c>
      <c r="I247" t="s">
        <v>64</v>
      </c>
      <c r="J247" t="s">
        <v>65</v>
      </c>
      <c r="K247" t="s">
        <v>66</v>
      </c>
      <c r="L247" s="1">
        <v>44952</v>
      </c>
      <c r="M247">
        <v>246</v>
      </c>
      <c r="N247">
        <v>1098</v>
      </c>
      <c r="O247">
        <v>2</v>
      </c>
      <c r="P247">
        <v>1</v>
      </c>
      <c r="Q247">
        <v>2499</v>
      </c>
      <c r="R247">
        <v>0.1</v>
      </c>
      <c r="S247">
        <v>2249</v>
      </c>
      <c r="T247">
        <v>2</v>
      </c>
      <c r="U247" t="s">
        <v>7</v>
      </c>
      <c r="V247" t="s">
        <v>6</v>
      </c>
      <c r="W247">
        <v>2499</v>
      </c>
      <c r="X247">
        <v>1500</v>
      </c>
    </row>
    <row r="248" spans="1:24" x14ac:dyDescent="0.3">
      <c r="A248">
        <v>1098</v>
      </c>
      <c r="B248">
        <v>3</v>
      </c>
      <c r="C248" s="1">
        <v>45995</v>
      </c>
      <c r="D248" t="s">
        <v>48</v>
      </c>
      <c r="E248" t="s">
        <v>43</v>
      </c>
      <c r="F248">
        <v>0</v>
      </c>
      <c r="G248">
        <v>3</v>
      </c>
      <c r="H248" t="s">
        <v>63</v>
      </c>
      <c r="I248" t="s">
        <v>64</v>
      </c>
      <c r="J248" t="s">
        <v>65</v>
      </c>
      <c r="K248" t="s">
        <v>66</v>
      </c>
      <c r="L248" s="1">
        <v>44952</v>
      </c>
      <c r="M248">
        <v>247</v>
      </c>
      <c r="N248">
        <v>1098</v>
      </c>
      <c r="O248">
        <v>16</v>
      </c>
      <c r="P248">
        <v>1</v>
      </c>
      <c r="Q248">
        <v>1599</v>
      </c>
      <c r="R248">
        <v>0</v>
      </c>
      <c r="S248">
        <v>1599</v>
      </c>
      <c r="T248">
        <v>16</v>
      </c>
      <c r="U248" t="s">
        <v>25</v>
      </c>
      <c r="V248" t="s">
        <v>6</v>
      </c>
      <c r="W248">
        <v>1599</v>
      </c>
      <c r="X248">
        <v>900</v>
      </c>
    </row>
    <row r="249" spans="1:24" x14ac:dyDescent="0.3">
      <c r="A249">
        <v>1098</v>
      </c>
      <c r="B249">
        <v>3</v>
      </c>
      <c r="C249" s="1">
        <v>45995</v>
      </c>
      <c r="D249" t="s">
        <v>48</v>
      </c>
      <c r="E249" t="s">
        <v>43</v>
      </c>
      <c r="F249">
        <v>0</v>
      </c>
      <c r="G249">
        <v>3</v>
      </c>
      <c r="H249" t="s">
        <v>63</v>
      </c>
      <c r="I249" t="s">
        <v>64</v>
      </c>
      <c r="J249" t="s">
        <v>65</v>
      </c>
      <c r="K249" t="s">
        <v>66</v>
      </c>
      <c r="L249" s="1">
        <v>44952</v>
      </c>
      <c r="M249">
        <v>248</v>
      </c>
      <c r="N249">
        <v>1098</v>
      </c>
      <c r="O249">
        <v>13</v>
      </c>
      <c r="P249">
        <v>1</v>
      </c>
      <c r="Q249">
        <v>10999</v>
      </c>
      <c r="R249">
        <v>0</v>
      </c>
      <c r="S249">
        <v>10999</v>
      </c>
      <c r="T249">
        <v>13</v>
      </c>
      <c r="U249" t="s">
        <v>22</v>
      </c>
      <c r="V249" t="s">
        <v>6</v>
      </c>
      <c r="W249">
        <v>10999</v>
      </c>
      <c r="X249">
        <v>7900</v>
      </c>
    </row>
    <row r="250" spans="1:24" x14ac:dyDescent="0.3">
      <c r="A250">
        <v>1099</v>
      </c>
      <c r="B250">
        <v>5</v>
      </c>
      <c r="C250" s="1">
        <v>45722</v>
      </c>
      <c r="D250" t="s">
        <v>41</v>
      </c>
      <c r="E250" t="s">
        <v>45</v>
      </c>
      <c r="F250">
        <v>5</v>
      </c>
      <c r="G250">
        <v>5</v>
      </c>
      <c r="H250" t="s">
        <v>70</v>
      </c>
      <c r="I250" t="s">
        <v>71</v>
      </c>
      <c r="J250" t="s">
        <v>72</v>
      </c>
      <c r="K250" t="s">
        <v>62</v>
      </c>
      <c r="L250" s="1">
        <v>45208</v>
      </c>
      <c r="M250">
        <v>249</v>
      </c>
      <c r="N250">
        <v>1099</v>
      </c>
      <c r="O250">
        <v>13</v>
      </c>
      <c r="P250">
        <v>1</v>
      </c>
      <c r="Q250">
        <v>10999</v>
      </c>
      <c r="R250">
        <v>0.15</v>
      </c>
      <c r="S250">
        <v>9349</v>
      </c>
      <c r="T250">
        <v>13</v>
      </c>
      <c r="U250" t="s">
        <v>22</v>
      </c>
      <c r="V250" t="s">
        <v>6</v>
      </c>
      <c r="W250">
        <v>10999</v>
      </c>
      <c r="X250">
        <v>7900</v>
      </c>
    </row>
    <row r="251" spans="1:24" x14ac:dyDescent="0.3">
      <c r="A251">
        <v>1099</v>
      </c>
      <c r="B251">
        <v>5</v>
      </c>
      <c r="C251" s="1">
        <v>45722</v>
      </c>
      <c r="D251" t="s">
        <v>41</v>
      </c>
      <c r="E251" t="s">
        <v>45</v>
      </c>
      <c r="F251">
        <v>5</v>
      </c>
      <c r="G251">
        <v>5</v>
      </c>
      <c r="H251" t="s">
        <v>70</v>
      </c>
      <c r="I251" t="s">
        <v>71</v>
      </c>
      <c r="J251" t="s">
        <v>72</v>
      </c>
      <c r="K251" t="s">
        <v>62</v>
      </c>
      <c r="L251" s="1">
        <v>45208</v>
      </c>
      <c r="M251">
        <v>250</v>
      </c>
      <c r="N251">
        <v>1099</v>
      </c>
      <c r="O251">
        <v>17</v>
      </c>
      <c r="P251">
        <v>1</v>
      </c>
      <c r="Q251">
        <v>8499</v>
      </c>
      <c r="R251">
        <v>0.2</v>
      </c>
      <c r="S251">
        <v>6799</v>
      </c>
      <c r="T251">
        <v>17</v>
      </c>
      <c r="U251" t="s">
        <v>26</v>
      </c>
      <c r="V251" t="s">
        <v>14</v>
      </c>
      <c r="W251">
        <v>8499</v>
      </c>
      <c r="X251">
        <v>6100</v>
      </c>
    </row>
    <row r="252" spans="1:24" x14ac:dyDescent="0.3">
      <c r="A252">
        <v>1099</v>
      </c>
      <c r="B252">
        <v>5</v>
      </c>
      <c r="C252" s="1">
        <v>45722</v>
      </c>
      <c r="D252" t="s">
        <v>41</v>
      </c>
      <c r="E252" t="s">
        <v>45</v>
      </c>
      <c r="F252">
        <v>5</v>
      </c>
      <c r="G252">
        <v>5</v>
      </c>
      <c r="H252" t="s">
        <v>70</v>
      </c>
      <c r="I252" t="s">
        <v>71</v>
      </c>
      <c r="J252" t="s">
        <v>72</v>
      </c>
      <c r="K252" t="s">
        <v>62</v>
      </c>
      <c r="L252" s="1">
        <v>45208</v>
      </c>
      <c r="M252">
        <v>251</v>
      </c>
      <c r="N252">
        <v>1099</v>
      </c>
      <c r="O252">
        <v>10</v>
      </c>
      <c r="P252">
        <v>1</v>
      </c>
      <c r="Q252">
        <v>599</v>
      </c>
      <c r="R252">
        <v>0.2</v>
      </c>
      <c r="S252">
        <v>479</v>
      </c>
      <c r="T252">
        <v>10</v>
      </c>
      <c r="U252" t="s">
        <v>18</v>
      </c>
      <c r="V252" t="s">
        <v>19</v>
      </c>
      <c r="W252">
        <v>599</v>
      </c>
      <c r="X252">
        <v>260</v>
      </c>
    </row>
    <row r="253" spans="1:24" x14ac:dyDescent="0.3">
      <c r="A253">
        <v>1100</v>
      </c>
      <c r="B253">
        <v>36</v>
      </c>
      <c r="C253" s="1">
        <v>45768</v>
      </c>
      <c r="D253" t="s">
        <v>41</v>
      </c>
      <c r="E253" t="s">
        <v>42</v>
      </c>
      <c r="F253">
        <v>4</v>
      </c>
      <c r="G253">
        <v>36</v>
      </c>
      <c r="H253" t="s">
        <v>123</v>
      </c>
      <c r="I253" t="s">
        <v>99</v>
      </c>
      <c r="J253" t="s">
        <v>75</v>
      </c>
      <c r="K253" t="s">
        <v>66</v>
      </c>
      <c r="L253" s="1">
        <v>45755</v>
      </c>
      <c r="M253">
        <v>252</v>
      </c>
      <c r="N253">
        <v>1100</v>
      </c>
      <c r="O253">
        <v>11</v>
      </c>
      <c r="P253">
        <v>2</v>
      </c>
      <c r="Q253">
        <v>1099</v>
      </c>
      <c r="R253">
        <v>0.05</v>
      </c>
      <c r="S253">
        <v>2088</v>
      </c>
      <c r="T253">
        <v>11</v>
      </c>
      <c r="U253" t="s">
        <v>20</v>
      </c>
      <c r="V253" t="s">
        <v>19</v>
      </c>
      <c r="W253">
        <v>1099</v>
      </c>
      <c r="X253">
        <v>570</v>
      </c>
    </row>
    <row r="254" spans="1:24" x14ac:dyDescent="0.3">
      <c r="A254">
        <v>1100</v>
      </c>
      <c r="B254">
        <v>36</v>
      </c>
      <c r="C254" s="1">
        <v>45768</v>
      </c>
      <c r="D254" t="s">
        <v>41</v>
      </c>
      <c r="E254" t="s">
        <v>42</v>
      </c>
      <c r="F254">
        <v>4</v>
      </c>
      <c r="G254">
        <v>36</v>
      </c>
      <c r="H254" t="s">
        <v>123</v>
      </c>
      <c r="I254" t="s">
        <v>99</v>
      </c>
      <c r="J254" t="s">
        <v>75</v>
      </c>
      <c r="K254" t="s">
        <v>66</v>
      </c>
      <c r="L254" s="1">
        <v>45755</v>
      </c>
      <c r="M254">
        <v>253</v>
      </c>
      <c r="N254">
        <v>1100</v>
      </c>
      <c r="O254">
        <v>15</v>
      </c>
      <c r="P254">
        <v>1</v>
      </c>
      <c r="Q254">
        <v>349</v>
      </c>
      <c r="R254">
        <v>0.2</v>
      </c>
      <c r="S254">
        <v>279</v>
      </c>
      <c r="T254">
        <v>15</v>
      </c>
      <c r="U254" t="s">
        <v>24</v>
      </c>
      <c r="V254" t="s">
        <v>11</v>
      </c>
      <c r="W254">
        <v>349</v>
      </c>
      <c r="X254">
        <v>120</v>
      </c>
    </row>
    <row r="255" spans="1:24" x14ac:dyDescent="0.3">
      <c r="A255">
        <v>1100</v>
      </c>
      <c r="B255">
        <v>36</v>
      </c>
      <c r="C255" s="1">
        <v>45768</v>
      </c>
      <c r="D255" t="s">
        <v>41</v>
      </c>
      <c r="E255" t="s">
        <v>42</v>
      </c>
      <c r="F255">
        <v>4</v>
      </c>
      <c r="G255">
        <v>36</v>
      </c>
      <c r="H255" t="s">
        <v>123</v>
      </c>
      <c r="I255" t="s">
        <v>99</v>
      </c>
      <c r="J255" t="s">
        <v>75</v>
      </c>
      <c r="K255" t="s">
        <v>66</v>
      </c>
      <c r="L255" s="1">
        <v>45755</v>
      </c>
      <c r="M255">
        <v>254</v>
      </c>
      <c r="N255">
        <v>1100</v>
      </c>
      <c r="O255">
        <v>13</v>
      </c>
      <c r="P255">
        <v>1</v>
      </c>
      <c r="Q255">
        <v>10999</v>
      </c>
      <c r="R255">
        <v>0</v>
      </c>
      <c r="S255">
        <v>10999</v>
      </c>
      <c r="T255">
        <v>13</v>
      </c>
      <c r="U255" t="s">
        <v>22</v>
      </c>
      <c r="V255" t="s">
        <v>6</v>
      </c>
      <c r="W255">
        <v>10999</v>
      </c>
      <c r="X255">
        <v>7900</v>
      </c>
    </row>
    <row r="256" spans="1:24" x14ac:dyDescent="0.3">
      <c r="A256">
        <v>1100</v>
      </c>
      <c r="B256">
        <v>36</v>
      </c>
      <c r="C256" s="1">
        <v>45768</v>
      </c>
      <c r="D256" t="s">
        <v>41</v>
      </c>
      <c r="E256" t="s">
        <v>42</v>
      </c>
      <c r="F256">
        <v>4</v>
      </c>
      <c r="G256">
        <v>36</v>
      </c>
      <c r="H256" t="s">
        <v>123</v>
      </c>
      <c r="I256" t="s">
        <v>99</v>
      </c>
      <c r="J256" t="s">
        <v>75</v>
      </c>
      <c r="K256" t="s">
        <v>66</v>
      </c>
      <c r="L256" s="1">
        <v>45755</v>
      </c>
      <c r="M256">
        <v>255</v>
      </c>
      <c r="N256">
        <v>1100</v>
      </c>
      <c r="O256">
        <v>14</v>
      </c>
      <c r="P256">
        <v>2</v>
      </c>
      <c r="Q256">
        <v>2499</v>
      </c>
      <c r="R256">
        <v>0.1</v>
      </c>
      <c r="S256">
        <v>4498</v>
      </c>
      <c r="T256">
        <v>14</v>
      </c>
      <c r="U256" t="s">
        <v>23</v>
      </c>
      <c r="V256" t="s">
        <v>6</v>
      </c>
      <c r="W256">
        <v>2499</v>
      </c>
      <c r="X256">
        <v>1500</v>
      </c>
    </row>
    <row r="257" spans="1:24" x14ac:dyDescent="0.3">
      <c r="A257">
        <v>1101</v>
      </c>
      <c r="B257">
        <v>5</v>
      </c>
      <c r="C257" s="1">
        <v>45704</v>
      </c>
      <c r="D257" t="s">
        <v>47</v>
      </c>
      <c r="E257" t="s">
        <v>46</v>
      </c>
      <c r="F257">
        <v>0</v>
      </c>
      <c r="G257">
        <v>5</v>
      </c>
      <c r="H257" t="s">
        <v>70</v>
      </c>
      <c r="I257" t="s">
        <v>71</v>
      </c>
      <c r="J257" t="s">
        <v>72</v>
      </c>
      <c r="K257" t="s">
        <v>62</v>
      </c>
      <c r="L257" s="1">
        <v>45208</v>
      </c>
      <c r="M257">
        <v>256</v>
      </c>
      <c r="N257">
        <v>1101</v>
      </c>
      <c r="O257">
        <v>14</v>
      </c>
      <c r="P257">
        <v>1</v>
      </c>
      <c r="Q257">
        <v>2499</v>
      </c>
      <c r="R257">
        <v>0.2</v>
      </c>
      <c r="S257">
        <v>1999</v>
      </c>
      <c r="T257">
        <v>14</v>
      </c>
      <c r="U257" t="s">
        <v>23</v>
      </c>
      <c r="V257" t="s">
        <v>6</v>
      </c>
      <c r="W257">
        <v>2499</v>
      </c>
      <c r="X257">
        <v>1500</v>
      </c>
    </row>
    <row r="258" spans="1:24" x14ac:dyDescent="0.3">
      <c r="A258">
        <v>1102</v>
      </c>
      <c r="B258">
        <v>24</v>
      </c>
      <c r="C258" s="1">
        <v>45724</v>
      </c>
      <c r="D258" t="s">
        <v>48</v>
      </c>
      <c r="E258" t="s">
        <v>46</v>
      </c>
      <c r="F258">
        <v>0</v>
      </c>
      <c r="G258">
        <v>24</v>
      </c>
      <c r="H258" t="s">
        <v>111</v>
      </c>
      <c r="I258" t="s">
        <v>68</v>
      </c>
      <c r="J258" t="s">
        <v>69</v>
      </c>
      <c r="K258" t="s">
        <v>66</v>
      </c>
      <c r="L258" s="1">
        <v>44954</v>
      </c>
      <c r="M258">
        <v>257</v>
      </c>
      <c r="N258">
        <v>1102</v>
      </c>
      <c r="O258">
        <v>4</v>
      </c>
      <c r="P258">
        <v>2</v>
      </c>
      <c r="Q258">
        <v>2199</v>
      </c>
      <c r="R258">
        <v>0.1</v>
      </c>
      <c r="S258">
        <v>3958</v>
      </c>
      <c r="T258">
        <v>4</v>
      </c>
      <c r="U258" t="s">
        <v>9</v>
      </c>
      <c r="V258" t="s">
        <v>6</v>
      </c>
      <c r="W258">
        <v>2199</v>
      </c>
      <c r="X258">
        <v>1250</v>
      </c>
    </row>
    <row r="259" spans="1:24" x14ac:dyDescent="0.3">
      <c r="A259">
        <v>1102</v>
      </c>
      <c r="B259">
        <v>24</v>
      </c>
      <c r="C259" s="1">
        <v>45724</v>
      </c>
      <c r="D259" t="s">
        <v>48</v>
      </c>
      <c r="E259" t="s">
        <v>46</v>
      </c>
      <c r="F259">
        <v>0</v>
      </c>
      <c r="G259">
        <v>24</v>
      </c>
      <c r="H259" t="s">
        <v>111</v>
      </c>
      <c r="I259" t="s">
        <v>68</v>
      </c>
      <c r="J259" t="s">
        <v>69</v>
      </c>
      <c r="K259" t="s">
        <v>66</v>
      </c>
      <c r="L259" s="1">
        <v>44954</v>
      </c>
      <c r="M259">
        <v>258</v>
      </c>
      <c r="N259">
        <v>1102</v>
      </c>
      <c r="O259">
        <v>14</v>
      </c>
      <c r="P259">
        <v>2</v>
      </c>
      <c r="Q259">
        <v>2499</v>
      </c>
      <c r="R259">
        <v>0.2</v>
      </c>
      <c r="S259">
        <v>3998</v>
      </c>
      <c r="T259">
        <v>14</v>
      </c>
      <c r="U259" t="s">
        <v>23</v>
      </c>
      <c r="V259" t="s">
        <v>6</v>
      </c>
      <c r="W259">
        <v>2499</v>
      </c>
      <c r="X259">
        <v>1500</v>
      </c>
    </row>
    <row r="260" spans="1:24" x14ac:dyDescent="0.3">
      <c r="A260">
        <v>1102</v>
      </c>
      <c r="B260">
        <v>24</v>
      </c>
      <c r="C260" s="1">
        <v>45724</v>
      </c>
      <c r="D260" t="s">
        <v>48</v>
      </c>
      <c r="E260" t="s">
        <v>46</v>
      </c>
      <c r="F260">
        <v>0</v>
      </c>
      <c r="G260">
        <v>24</v>
      </c>
      <c r="H260" t="s">
        <v>111</v>
      </c>
      <c r="I260" t="s">
        <v>68</v>
      </c>
      <c r="J260" t="s">
        <v>69</v>
      </c>
      <c r="K260" t="s">
        <v>66</v>
      </c>
      <c r="L260" s="1">
        <v>44954</v>
      </c>
      <c r="M260">
        <v>259</v>
      </c>
      <c r="N260">
        <v>1102</v>
      </c>
      <c r="O260">
        <v>12</v>
      </c>
      <c r="P260">
        <v>1</v>
      </c>
      <c r="Q260">
        <v>399</v>
      </c>
      <c r="R260">
        <v>0.05</v>
      </c>
      <c r="S260">
        <v>379</v>
      </c>
      <c r="T260">
        <v>12</v>
      </c>
      <c r="U260" t="s">
        <v>21</v>
      </c>
      <c r="V260" t="s">
        <v>14</v>
      </c>
      <c r="W260">
        <v>399</v>
      </c>
      <c r="X260">
        <v>140</v>
      </c>
    </row>
    <row r="261" spans="1:24" x14ac:dyDescent="0.3">
      <c r="A261">
        <v>1103</v>
      </c>
      <c r="B261">
        <v>39</v>
      </c>
      <c r="C261" s="1">
        <v>45817</v>
      </c>
      <c r="D261" t="s">
        <v>41</v>
      </c>
      <c r="E261" t="s">
        <v>45</v>
      </c>
      <c r="F261">
        <v>1</v>
      </c>
      <c r="G261">
        <v>39</v>
      </c>
      <c r="H261" t="s">
        <v>126</v>
      </c>
      <c r="I261" t="s">
        <v>105</v>
      </c>
      <c r="J261" t="s">
        <v>84</v>
      </c>
      <c r="K261" t="s">
        <v>66</v>
      </c>
      <c r="L261" s="1">
        <v>45752</v>
      </c>
      <c r="M261">
        <v>260</v>
      </c>
      <c r="N261">
        <v>1103</v>
      </c>
      <c r="O261">
        <v>5</v>
      </c>
      <c r="P261">
        <v>1</v>
      </c>
      <c r="Q261">
        <v>1299</v>
      </c>
      <c r="R261">
        <v>0</v>
      </c>
      <c r="S261">
        <v>1299</v>
      </c>
      <c r="T261">
        <v>5</v>
      </c>
      <c r="U261" t="s">
        <v>10</v>
      </c>
      <c r="V261" t="s">
        <v>11</v>
      </c>
      <c r="W261">
        <v>1299</v>
      </c>
      <c r="X261">
        <v>650</v>
      </c>
    </row>
    <row r="262" spans="1:24" x14ac:dyDescent="0.3">
      <c r="A262">
        <v>1103</v>
      </c>
      <c r="B262">
        <v>39</v>
      </c>
      <c r="C262" s="1">
        <v>45817</v>
      </c>
      <c r="D262" t="s">
        <v>41</v>
      </c>
      <c r="E262" t="s">
        <v>45</v>
      </c>
      <c r="F262">
        <v>1</v>
      </c>
      <c r="G262">
        <v>39</v>
      </c>
      <c r="H262" t="s">
        <v>126</v>
      </c>
      <c r="I262" t="s">
        <v>105</v>
      </c>
      <c r="J262" t="s">
        <v>84</v>
      </c>
      <c r="K262" t="s">
        <v>66</v>
      </c>
      <c r="L262" s="1">
        <v>45752</v>
      </c>
      <c r="M262">
        <v>261</v>
      </c>
      <c r="N262">
        <v>1103</v>
      </c>
      <c r="O262">
        <v>16</v>
      </c>
      <c r="P262">
        <v>1</v>
      </c>
      <c r="Q262">
        <v>1599</v>
      </c>
      <c r="R262">
        <v>0.15</v>
      </c>
      <c r="S262">
        <v>1359</v>
      </c>
      <c r="T262">
        <v>16</v>
      </c>
      <c r="U262" t="s">
        <v>25</v>
      </c>
      <c r="V262" t="s">
        <v>6</v>
      </c>
      <c r="W262">
        <v>1599</v>
      </c>
      <c r="X262">
        <v>900</v>
      </c>
    </row>
    <row r="263" spans="1:24" x14ac:dyDescent="0.3">
      <c r="A263">
        <v>1104</v>
      </c>
      <c r="B263">
        <v>24</v>
      </c>
      <c r="C263" s="1">
        <v>45716</v>
      </c>
      <c r="D263" t="s">
        <v>47</v>
      </c>
      <c r="E263" t="s">
        <v>43</v>
      </c>
      <c r="F263">
        <v>0</v>
      </c>
      <c r="G263">
        <v>24</v>
      </c>
      <c r="H263" t="s">
        <v>111</v>
      </c>
      <c r="I263" t="s">
        <v>68</v>
      </c>
      <c r="J263" t="s">
        <v>69</v>
      </c>
      <c r="K263" t="s">
        <v>66</v>
      </c>
      <c r="L263" s="1">
        <v>44954</v>
      </c>
      <c r="M263">
        <v>262</v>
      </c>
      <c r="N263">
        <v>1104</v>
      </c>
      <c r="O263">
        <v>14</v>
      </c>
      <c r="P263">
        <v>3</v>
      </c>
      <c r="Q263">
        <v>2499</v>
      </c>
      <c r="R263">
        <v>0.15</v>
      </c>
      <c r="S263">
        <v>6372</v>
      </c>
      <c r="T263">
        <v>14</v>
      </c>
      <c r="U263" t="s">
        <v>23</v>
      </c>
      <c r="V263" t="s">
        <v>6</v>
      </c>
      <c r="W263">
        <v>2499</v>
      </c>
      <c r="X263">
        <v>1500</v>
      </c>
    </row>
    <row r="264" spans="1:24" x14ac:dyDescent="0.3">
      <c r="A264">
        <v>1104</v>
      </c>
      <c r="B264">
        <v>24</v>
      </c>
      <c r="C264" s="1">
        <v>45716</v>
      </c>
      <c r="D264" t="s">
        <v>47</v>
      </c>
      <c r="E264" t="s">
        <v>43</v>
      </c>
      <c r="F264">
        <v>0</v>
      </c>
      <c r="G264">
        <v>24</v>
      </c>
      <c r="H264" t="s">
        <v>111</v>
      </c>
      <c r="I264" t="s">
        <v>68</v>
      </c>
      <c r="J264" t="s">
        <v>69</v>
      </c>
      <c r="K264" t="s">
        <v>66</v>
      </c>
      <c r="L264" s="1">
        <v>44954</v>
      </c>
      <c r="M264">
        <v>263</v>
      </c>
      <c r="N264">
        <v>1104</v>
      </c>
      <c r="O264">
        <v>18</v>
      </c>
      <c r="P264">
        <v>1</v>
      </c>
      <c r="Q264">
        <v>3299</v>
      </c>
      <c r="R264">
        <v>0.2</v>
      </c>
      <c r="S264">
        <v>2639</v>
      </c>
      <c r="T264">
        <v>18</v>
      </c>
      <c r="U264" t="s">
        <v>27</v>
      </c>
      <c r="V264" t="s">
        <v>19</v>
      </c>
      <c r="W264">
        <v>3299</v>
      </c>
      <c r="X264">
        <v>2050</v>
      </c>
    </row>
    <row r="265" spans="1:24" x14ac:dyDescent="0.3">
      <c r="A265">
        <v>1105</v>
      </c>
      <c r="B265">
        <v>36</v>
      </c>
      <c r="C265" s="1">
        <v>45671</v>
      </c>
      <c r="D265" t="s">
        <v>48</v>
      </c>
      <c r="E265" t="s">
        <v>43</v>
      </c>
      <c r="F265">
        <v>0</v>
      </c>
      <c r="G265">
        <v>36</v>
      </c>
      <c r="H265" t="s">
        <v>123</v>
      </c>
      <c r="I265" t="s">
        <v>99</v>
      </c>
      <c r="J265" t="s">
        <v>75</v>
      </c>
      <c r="K265" t="s">
        <v>66</v>
      </c>
      <c r="L265" s="1">
        <v>45755</v>
      </c>
      <c r="M265">
        <v>264</v>
      </c>
      <c r="N265">
        <v>1105</v>
      </c>
      <c r="O265">
        <v>6</v>
      </c>
      <c r="P265">
        <v>1</v>
      </c>
      <c r="Q265">
        <v>1899</v>
      </c>
      <c r="R265">
        <v>0.05</v>
      </c>
      <c r="S265">
        <v>1804</v>
      </c>
      <c r="T265">
        <v>6</v>
      </c>
      <c r="U265" t="s">
        <v>12</v>
      </c>
      <c r="V265" t="s">
        <v>11</v>
      </c>
      <c r="W265">
        <v>1899</v>
      </c>
      <c r="X265">
        <v>950</v>
      </c>
    </row>
    <row r="266" spans="1:24" x14ac:dyDescent="0.3">
      <c r="A266">
        <v>1106</v>
      </c>
      <c r="B266">
        <v>22</v>
      </c>
      <c r="C266" s="1">
        <v>45837</v>
      </c>
      <c r="D266" t="s">
        <v>41</v>
      </c>
      <c r="E266" t="s">
        <v>42</v>
      </c>
      <c r="F266">
        <v>2</v>
      </c>
      <c r="G266">
        <v>22</v>
      </c>
      <c r="H266" t="s">
        <v>109</v>
      </c>
      <c r="I266" t="s">
        <v>60</v>
      </c>
      <c r="J266" t="s">
        <v>61</v>
      </c>
      <c r="K266" t="s">
        <v>58</v>
      </c>
      <c r="L266" s="1">
        <v>45444</v>
      </c>
      <c r="M266">
        <v>265</v>
      </c>
      <c r="N266">
        <v>1106</v>
      </c>
      <c r="O266">
        <v>3</v>
      </c>
      <c r="P266">
        <v>2</v>
      </c>
      <c r="Q266">
        <v>1799</v>
      </c>
      <c r="R266">
        <v>0</v>
      </c>
      <c r="S266">
        <v>3598</v>
      </c>
      <c r="T266">
        <v>3</v>
      </c>
      <c r="U266" t="s">
        <v>8</v>
      </c>
      <c r="V266" t="s">
        <v>6</v>
      </c>
      <c r="W266">
        <v>1799</v>
      </c>
      <c r="X266">
        <v>980</v>
      </c>
    </row>
    <row r="267" spans="1:24" x14ac:dyDescent="0.3">
      <c r="A267">
        <v>1106</v>
      </c>
      <c r="B267">
        <v>22</v>
      </c>
      <c r="C267" s="1">
        <v>45837</v>
      </c>
      <c r="D267" t="s">
        <v>41</v>
      </c>
      <c r="E267" t="s">
        <v>42</v>
      </c>
      <c r="F267">
        <v>2</v>
      </c>
      <c r="G267">
        <v>22</v>
      </c>
      <c r="H267" t="s">
        <v>109</v>
      </c>
      <c r="I267" t="s">
        <v>60</v>
      </c>
      <c r="J267" t="s">
        <v>61</v>
      </c>
      <c r="K267" t="s">
        <v>58</v>
      </c>
      <c r="L267" s="1">
        <v>45444</v>
      </c>
      <c r="M267">
        <v>266</v>
      </c>
      <c r="N267">
        <v>1106</v>
      </c>
      <c r="O267">
        <v>5</v>
      </c>
      <c r="P267">
        <v>1</v>
      </c>
      <c r="Q267">
        <v>1299</v>
      </c>
      <c r="R267">
        <v>0.1</v>
      </c>
      <c r="S267">
        <v>1169</v>
      </c>
      <c r="T267">
        <v>5</v>
      </c>
      <c r="U267" t="s">
        <v>10</v>
      </c>
      <c r="V267" t="s">
        <v>11</v>
      </c>
      <c r="W267">
        <v>1299</v>
      </c>
      <c r="X267">
        <v>650</v>
      </c>
    </row>
    <row r="268" spans="1:24" x14ac:dyDescent="0.3">
      <c r="A268">
        <v>1106</v>
      </c>
      <c r="B268">
        <v>22</v>
      </c>
      <c r="C268" s="1">
        <v>45837</v>
      </c>
      <c r="D268" t="s">
        <v>41</v>
      </c>
      <c r="E268" t="s">
        <v>42</v>
      </c>
      <c r="F268">
        <v>2</v>
      </c>
      <c r="G268">
        <v>22</v>
      </c>
      <c r="H268" t="s">
        <v>109</v>
      </c>
      <c r="I268" t="s">
        <v>60</v>
      </c>
      <c r="J268" t="s">
        <v>61</v>
      </c>
      <c r="K268" t="s">
        <v>58</v>
      </c>
      <c r="L268" s="1">
        <v>45444</v>
      </c>
      <c r="M268">
        <v>267</v>
      </c>
      <c r="N268">
        <v>1106</v>
      </c>
      <c r="O268">
        <v>1</v>
      </c>
      <c r="P268">
        <v>1</v>
      </c>
      <c r="Q268">
        <v>799</v>
      </c>
      <c r="R268">
        <v>0.05</v>
      </c>
      <c r="S268">
        <v>759</v>
      </c>
      <c r="T268">
        <v>1</v>
      </c>
      <c r="U268" t="s">
        <v>5</v>
      </c>
      <c r="V268" t="s">
        <v>6</v>
      </c>
      <c r="W268">
        <v>799</v>
      </c>
      <c r="X268">
        <v>420</v>
      </c>
    </row>
    <row r="269" spans="1:24" x14ac:dyDescent="0.3">
      <c r="A269">
        <v>1106</v>
      </c>
      <c r="B269">
        <v>22</v>
      </c>
      <c r="C269" s="1">
        <v>45837</v>
      </c>
      <c r="D269" t="s">
        <v>41</v>
      </c>
      <c r="E269" t="s">
        <v>42</v>
      </c>
      <c r="F269">
        <v>2</v>
      </c>
      <c r="G269">
        <v>22</v>
      </c>
      <c r="H269" t="s">
        <v>109</v>
      </c>
      <c r="I269" t="s">
        <v>60</v>
      </c>
      <c r="J269" t="s">
        <v>61</v>
      </c>
      <c r="K269" t="s">
        <v>58</v>
      </c>
      <c r="L269" s="1">
        <v>45444</v>
      </c>
      <c r="M269">
        <v>268</v>
      </c>
      <c r="N269">
        <v>1106</v>
      </c>
      <c r="O269">
        <v>20</v>
      </c>
      <c r="P269">
        <v>1</v>
      </c>
      <c r="Q269">
        <v>449</v>
      </c>
      <c r="R269">
        <v>0.05</v>
      </c>
      <c r="S269">
        <v>427</v>
      </c>
      <c r="T269">
        <v>20</v>
      </c>
      <c r="U269" t="s">
        <v>29</v>
      </c>
      <c r="V269" t="s">
        <v>16</v>
      </c>
      <c r="W269">
        <v>449</v>
      </c>
      <c r="X269">
        <v>180</v>
      </c>
    </row>
    <row r="270" spans="1:24" x14ac:dyDescent="0.3">
      <c r="A270">
        <v>1107</v>
      </c>
      <c r="B270">
        <v>37</v>
      </c>
      <c r="C270" s="1">
        <v>45963</v>
      </c>
      <c r="D270" t="s">
        <v>41</v>
      </c>
      <c r="E270" t="s">
        <v>42</v>
      </c>
      <c r="F270">
        <v>1</v>
      </c>
      <c r="G270">
        <v>37</v>
      </c>
      <c r="H270" t="s">
        <v>124</v>
      </c>
      <c r="I270" t="s">
        <v>101</v>
      </c>
      <c r="J270" t="s">
        <v>78</v>
      </c>
      <c r="K270" t="s">
        <v>58</v>
      </c>
      <c r="L270" s="1">
        <v>44933</v>
      </c>
      <c r="M270">
        <v>269</v>
      </c>
      <c r="N270">
        <v>1107</v>
      </c>
      <c r="O270">
        <v>20</v>
      </c>
      <c r="P270">
        <v>2</v>
      </c>
      <c r="Q270">
        <v>449</v>
      </c>
      <c r="R270">
        <v>0.05</v>
      </c>
      <c r="S270">
        <v>853</v>
      </c>
      <c r="T270">
        <v>20</v>
      </c>
      <c r="U270" t="s">
        <v>29</v>
      </c>
      <c r="V270" t="s">
        <v>16</v>
      </c>
      <c r="W270">
        <v>449</v>
      </c>
      <c r="X270">
        <v>180</v>
      </c>
    </row>
    <row r="271" spans="1:24" x14ac:dyDescent="0.3">
      <c r="A271">
        <v>1107</v>
      </c>
      <c r="B271">
        <v>37</v>
      </c>
      <c r="C271" s="1">
        <v>45963</v>
      </c>
      <c r="D271" t="s">
        <v>41</v>
      </c>
      <c r="E271" t="s">
        <v>42</v>
      </c>
      <c r="F271">
        <v>1</v>
      </c>
      <c r="G271">
        <v>37</v>
      </c>
      <c r="H271" t="s">
        <v>124</v>
      </c>
      <c r="I271" t="s">
        <v>101</v>
      </c>
      <c r="J271" t="s">
        <v>78</v>
      </c>
      <c r="K271" t="s">
        <v>58</v>
      </c>
      <c r="L271" s="1">
        <v>44933</v>
      </c>
      <c r="M271">
        <v>270</v>
      </c>
      <c r="N271">
        <v>1107</v>
      </c>
      <c r="O271">
        <v>2</v>
      </c>
      <c r="P271">
        <v>1</v>
      </c>
      <c r="Q271">
        <v>2499</v>
      </c>
      <c r="R271">
        <v>0.1</v>
      </c>
      <c r="S271">
        <v>2249</v>
      </c>
      <c r="T271">
        <v>2</v>
      </c>
      <c r="U271" t="s">
        <v>7</v>
      </c>
      <c r="V271" t="s">
        <v>6</v>
      </c>
      <c r="W271">
        <v>2499</v>
      </c>
      <c r="X271">
        <v>1500</v>
      </c>
    </row>
    <row r="272" spans="1:24" x14ac:dyDescent="0.3">
      <c r="A272">
        <v>1108</v>
      </c>
      <c r="B272">
        <v>32</v>
      </c>
      <c r="C272" s="1">
        <v>45968</v>
      </c>
      <c r="D272" t="s">
        <v>41</v>
      </c>
      <c r="E272" t="s">
        <v>43</v>
      </c>
      <c r="F272">
        <v>4</v>
      </c>
      <c r="G272">
        <v>32</v>
      </c>
      <c r="H272" t="s">
        <v>119</v>
      </c>
      <c r="I272" t="s">
        <v>91</v>
      </c>
      <c r="J272" t="s">
        <v>61</v>
      </c>
      <c r="K272" t="s">
        <v>62</v>
      </c>
      <c r="L272" s="1">
        <v>45152</v>
      </c>
      <c r="M272">
        <v>271</v>
      </c>
      <c r="N272">
        <v>1108</v>
      </c>
      <c r="O272">
        <v>17</v>
      </c>
      <c r="P272">
        <v>1</v>
      </c>
      <c r="Q272">
        <v>8499</v>
      </c>
      <c r="R272">
        <v>0</v>
      </c>
      <c r="S272">
        <v>8499</v>
      </c>
      <c r="T272">
        <v>17</v>
      </c>
      <c r="U272" t="s">
        <v>26</v>
      </c>
      <c r="V272" t="s">
        <v>14</v>
      </c>
      <c r="W272">
        <v>8499</v>
      </c>
      <c r="X272">
        <v>6100</v>
      </c>
    </row>
    <row r="273" spans="1:24" x14ac:dyDescent="0.3">
      <c r="A273">
        <v>1108</v>
      </c>
      <c r="B273">
        <v>32</v>
      </c>
      <c r="C273" s="1">
        <v>45968</v>
      </c>
      <c r="D273" t="s">
        <v>41</v>
      </c>
      <c r="E273" t="s">
        <v>43</v>
      </c>
      <c r="F273">
        <v>4</v>
      </c>
      <c r="G273">
        <v>32</v>
      </c>
      <c r="H273" t="s">
        <v>119</v>
      </c>
      <c r="I273" t="s">
        <v>91</v>
      </c>
      <c r="J273" t="s">
        <v>61</v>
      </c>
      <c r="K273" t="s">
        <v>62</v>
      </c>
      <c r="L273" s="1">
        <v>45152</v>
      </c>
      <c r="M273">
        <v>272</v>
      </c>
      <c r="N273">
        <v>1108</v>
      </c>
      <c r="O273">
        <v>4</v>
      </c>
      <c r="P273">
        <v>1</v>
      </c>
      <c r="Q273">
        <v>2199</v>
      </c>
      <c r="R273">
        <v>0.2</v>
      </c>
      <c r="S273">
        <v>1759</v>
      </c>
      <c r="T273">
        <v>4</v>
      </c>
      <c r="U273" t="s">
        <v>9</v>
      </c>
      <c r="V273" t="s">
        <v>6</v>
      </c>
      <c r="W273">
        <v>2199</v>
      </c>
      <c r="X273">
        <v>1250</v>
      </c>
    </row>
    <row r="274" spans="1:24" x14ac:dyDescent="0.3">
      <c r="A274">
        <v>1109</v>
      </c>
      <c r="B274">
        <v>38</v>
      </c>
      <c r="C274" s="1">
        <v>45907</v>
      </c>
      <c r="D274" t="s">
        <v>48</v>
      </c>
      <c r="E274" t="s">
        <v>43</v>
      </c>
      <c r="F274">
        <v>0</v>
      </c>
      <c r="G274">
        <v>38</v>
      </c>
      <c r="H274" t="s">
        <v>125</v>
      </c>
      <c r="I274" t="s">
        <v>103</v>
      </c>
      <c r="J274" t="s">
        <v>81</v>
      </c>
      <c r="K274" t="s">
        <v>62</v>
      </c>
      <c r="L274" s="1">
        <v>45704</v>
      </c>
      <c r="M274">
        <v>273</v>
      </c>
      <c r="N274">
        <v>1109</v>
      </c>
      <c r="O274">
        <v>8</v>
      </c>
      <c r="P274">
        <v>1</v>
      </c>
      <c r="Q274">
        <v>299</v>
      </c>
      <c r="R274">
        <v>0.15</v>
      </c>
      <c r="S274">
        <v>254</v>
      </c>
      <c r="T274">
        <v>8</v>
      </c>
      <c r="U274" t="s">
        <v>15</v>
      </c>
      <c r="V274" t="s">
        <v>16</v>
      </c>
      <c r="W274">
        <v>299</v>
      </c>
      <c r="X274">
        <v>110</v>
      </c>
    </row>
    <row r="275" spans="1:24" x14ac:dyDescent="0.3">
      <c r="A275">
        <v>1110</v>
      </c>
      <c r="B275">
        <v>4</v>
      </c>
      <c r="C275" s="1">
        <v>45661</v>
      </c>
      <c r="D275" t="s">
        <v>41</v>
      </c>
      <c r="E275" t="s">
        <v>42</v>
      </c>
      <c r="F275">
        <v>3</v>
      </c>
      <c r="G275">
        <v>4</v>
      </c>
      <c r="H275" t="s">
        <v>67</v>
      </c>
      <c r="I275" t="s">
        <v>68</v>
      </c>
      <c r="J275" t="s">
        <v>69</v>
      </c>
      <c r="K275" t="s">
        <v>58</v>
      </c>
      <c r="L275" s="1">
        <v>45686</v>
      </c>
      <c r="M275">
        <v>274</v>
      </c>
      <c r="N275">
        <v>1110</v>
      </c>
      <c r="O275">
        <v>9</v>
      </c>
      <c r="P275">
        <v>1</v>
      </c>
      <c r="Q275">
        <v>199</v>
      </c>
      <c r="R275">
        <v>0</v>
      </c>
      <c r="S275">
        <v>199</v>
      </c>
      <c r="T275">
        <v>9</v>
      </c>
      <c r="U275" t="s">
        <v>17</v>
      </c>
      <c r="V275" t="s">
        <v>16</v>
      </c>
      <c r="W275">
        <v>199</v>
      </c>
      <c r="X275">
        <v>65</v>
      </c>
    </row>
    <row r="276" spans="1:24" x14ac:dyDescent="0.3">
      <c r="A276">
        <v>1110</v>
      </c>
      <c r="B276">
        <v>4</v>
      </c>
      <c r="C276" s="1">
        <v>45661</v>
      </c>
      <c r="D276" t="s">
        <v>41</v>
      </c>
      <c r="E276" t="s">
        <v>42</v>
      </c>
      <c r="F276">
        <v>3</v>
      </c>
      <c r="G276">
        <v>4</v>
      </c>
      <c r="H276" t="s">
        <v>67</v>
      </c>
      <c r="I276" t="s">
        <v>68</v>
      </c>
      <c r="J276" t="s">
        <v>69</v>
      </c>
      <c r="K276" t="s">
        <v>58</v>
      </c>
      <c r="L276" s="1">
        <v>45686</v>
      </c>
      <c r="M276">
        <v>275</v>
      </c>
      <c r="N276">
        <v>1110</v>
      </c>
      <c r="O276">
        <v>10</v>
      </c>
      <c r="P276">
        <v>1</v>
      </c>
      <c r="Q276">
        <v>599</v>
      </c>
      <c r="R276">
        <v>0.1</v>
      </c>
      <c r="S276">
        <v>539</v>
      </c>
      <c r="T276">
        <v>10</v>
      </c>
      <c r="U276" t="s">
        <v>18</v>
      </c>
      <c r="V276" t="s">
        <v>19</v>
      </c>
      <c r="W276">
        <v>599</v>
      </c>
      <c r="X276">
        <v>260</v>
      </c>
    </row>
    <row r="277" spans="1:24" x14ac:dyDescent="0.3">
      <c r="A277">
        <v>1111</v>
      </c>
      <c r="B277">
        <v>12</v>
      </c>
      <c r="C277" s="1">
        <v>45724</v>
      </c>
      <c r="D277" t="s">
        <v>41</v>
      </c>
      <c r="E277" t="s">
        <v>42</v>
      </c>
      <c r="F277">
        <v>5</v>
      </c>
      <c r="G277">
        <v>12</v>
      </c>
      <c r="H277" t="s">
        <v>90</v>
      </c>
      <c r="I277" t="s">
        <v>91</v>
      </c>
      <c r="J277" t="s">
        <v>61</v>
      </c>
      <c r="K277" t="s">
        <v>66</v>
      </c>
      <c r="L277" s="1">
        <v>45685</v>
      </c>
      <c r="M277">
        <v>276</v>
      </c>
      <c r="N277">
        <v>1111</v>
      </c>
      <c r="O277">
        <v>3</v>
      </c>
      <c r="P277">
        <v>1</v>
      </c>
      <c r="Q277">
        <v>1799</v>
      </c>
      <c r="R277">
        <v>0.1</v>
      </c>
      <c r="S277">
        <v>1619</v>
      </c>
      <c r="T277">
        <v>3</v>
      </c>
      <c r="U277" t="s">
        <v>8</v>
      </c>
      <c r="V277" t="s">
        <v>6</v>
      </c>
      <c r="W277">
        <v>1799</v>
      </c>
      <c r="X277">
        <v>980</v>
      </c>
    </row>
    <row r="278" spans="1:24" x14ac:dyDescent="0.3">
      <c r="A278">
        <v>1111</v>
      </c>
      <c r="B278">
        <v>12</v>
      </c>
      <c r="C278" s="1">
        <v>45724</v>
      </c>
      <c r="D278" t="s">
        <v>41</v>
      </c>
      <c r="E278" t="s">
        <v>42</v>
      </c>
      <c r="F278">
        <v>5</v>
      </c>
      <c r="G278">
        <v>12</v>
      </c>
      <c r="H278" t="s">
        <v>90</v>
      </c>
      <c r="I278" t="s">
        <v>91</v>
      </c>
      <c r="J278" t="s">
        <v>61</v>
      </c>
      <c r="K278" t="s">
        <v>66</v>
      </c>
      <c r="L278" s="1">
        <v>45685</v>
      </c>
      <c r="M278">
        <v>277</v>
      </c>
      <c r="N278">
        <v>1111</v>
      </c>
      <c r="O278">
        <v>13</v>
      </c>
      <c r="P278">
        <v>2</v>
      </c>
      <c r="Q278">
        <v>10999</v>
      </c>
      <c r="R278">
        <v>0.05</v>
      </c>
      <c r="S278">
        <v>20898</v>
      </c>
      <c r="T278">
        <v>13</v>
      </c>
      <c r="U278" t="s">
        <v>22</v>
      </c>
      <c r="V278" t="s">
        <v>6</v>
      </c>
      <c r="W278">
        <v>10999</v>
      </c>
      <c r="X278">
        <v>7900</v>
      </c>
    </row>
    <row r="279" spans="1:24" x14ac:dyDescent="0.3">
      <c r="A279">
        <v>1111</v>
      </c>
      <c r="B279">
        <v>12</v>
      </c>
      <c r="C279" s="1">
        <v>45724</v>
      </c>
      <c r="D279" t="s">
        <v>41</v>
      </c>
      <c r="E279" t="s">
        <v>42</v>
      </c>
      <c r="F279">
        <v>5</v>
      </c>
      <c r="G279">
        <v>12</v>
      </c>
      <c r="H279" t="s">
        <v>90</v>
      </c>
      <c r="I279" t="s">
        <v>91</v>
      </c>
      <c r="J279" t="s">
        <v>61</v>
      </c>
      <c r="K279" t="s">
        <v>66</v>
      </c>
      <c r="L279" s="1">
        <v>45685</v>
      </c>
      <c r="M279">
        <v>278</v>
      </c>
      <c r="N279">
        <v>1111</v>
      </c>
      <c r="O279">
        <v>2</v>
      </c>
      <c r="P279">
        <v>1</v>
      </c>
      <c r="Q279">
        <v>2499</v>
      </c>
      <c r="R279">
        <v>0.15</v>
      </c>
      <c r="S279">
        <v>2124</v>
      </c>
      <c r="T279">
        <v>2</v>
      </c>
      <c r="U279" t="s">
        <v>7</v>
      </c>
      <c r="V279" t="s">
        <v>6</v>
      </c>
      <c r="W279">
        <v>2499</v>
      </c>
      <c r="X279">
        <v>1500</v>
      </c>
    </row>
    <row r="280" spans="1:24" x14ac:dyDescent="0.3">
      <c r="A280">
        <v>1112</v>
      </c>
      <c r="B280">
        <v>26</v>
      </c>
      <c r="C280" s="1">
        <v>46021</v>
      </c>
      <c r="D280" t="s">
        <v>44</v>
      </c>
      <c r="E280" t="s">
        <v>43</v>
      </c>
      <c r="F280">
        <v>4</v>
      </c>
      <c r="G280">
        <v>26</v>
      </c>
      <c r="H280" t="s">
        <v>113</v>
      </c>
      <c r="I280" t="s">
        <v>74</v>
      </c>
      <c r="J280" t="s">
        <v>75</v>
      </c>
      <c r="K280" t="s">
        <v>62</v>
      </c>
      <c r="L280" s="1">
        <v>45130</v>
      </c>
      <c r="M280">
        <v>279</v>
      </c>
      <c r="N280">
        <v>1112</v>
      </c>
      <c r="O280">
        <v>13</v>
      </c>
      <c r="P280">
        <v>1</v>
      </c>
      <c r="Q280">
        <v>10999</v>
      </c>
      <c r="R280">
        <v>0.05</v>
      </c>
      <c r="S280">
        <v>10449</v>
      </c>
      <c r="T280">
        <v>13</v>
      </c>
      <c r="U280" t="s">
        <v>22</v>
      </c>
      <c r="V280" t="s">
        <v>6</v>
      </c>
      <c r="W280">
        <v>10999</v>
      </c>
      <c r="X280">
        <v>7900</v>
      </c>
    </row>
    <row r="281" spans="1:24" x14ac:dyDescent="0.3">
      <c r="A281">
        <v>1113</v>
      </c>
      <c r="B281">
        <v>11</v>
      </c>
      <c r="C281" s="1">
        <v>45974</v>
      </c>
      <c r="D281" t="s">
        <v>41</v>
      </c>
      <c r="E281" t="s">
        <v>43</v>
      </c>
      <c r="F281">
        <v>7</v>
      </c>
      <c r="G281">
        <v>11</v>
      </c>
      <c r="H281" t="s">
        <v>88</v>
      </c>
      <c r="I281" t="s">
        <v>89</v>
      </c>
      <c r="J281" t="s">
        <v>57</v>
      </c>
      <c r="K281" t="s">
        <v>62</v>
      </c>
      <c r="L281" s="1">
        <v>45619</v>
      </c>
      <c r="M281">
        <v>280</v>
      </c>
      <c r="N281">
        <v>1113</v>
      </c>
      <c r="O281">
        <v>14</v>
      </c>
      <c r="P281">
        <v>2</v>
      </c>
      <c r="Q281">
        <v>2499</v>
      </c>
      <c r="R281">
        <v>0</v>
      </c>
      <c r="S281">
        <v>4998</v>
      </c>
      <c r="T281">
        <v>14</v>
      </c>
      <c r="U281" t="s">
        <v>23</v>
      </c>
      <c r="V281" t="s">
        <v>6</v>
      </c>
      <c r="W281">
        <v>2499</v>
      </c>
      <c r="X281">
        <v>1500</v>
      </c>
    </row>
    <row r="282" spans="1:24" x14ac:dyDescent="0.3">
      <c r="A282">
        <v>1114</v>
      </c>
      <c r="B282">
        <v>28</v>
      </c>
      <c r="C282" s="1">
        <v>45959</v>
      </c>
      <c r="D282" t="s">
        <v>41</v>
      </c>
      <c r="E282" t="s">
        <v>46</v>
      </c>
      <c r="F282">
        <v>5</v>
      </c>
      <c r="G282">
        <v>28</v>
      </c>
      <c r="H282" t="s">
        <v>115</v>
      </c>
      <c r="I282" t="s">
        <v>80</v>
      </c>
      <c r="J282" t="s">
        <v>81</v>
      </c>
      <c r="K282" t="s">
        <v>58</v>
      </c>
      <c r="L282" s="1">
        <v>45592</v>
      </c>
      <c r="M282">
        <v>281</v>
      </c>
      <c r="N282">
        <v>1114</v>
      </c>
      <c r="O282">
        <v>10</v>
      </c>
      <c r="P282">
        <v>2</v>
      </c>
      <c r="Q282">
        <v>599</v>
      </c>
      <c r="R282">
        <v>0</v>
      </c>
      <c r="S282">
        <v>1198</v>
      </c>
      <c r="T282">
        <v>10</v>
      </c>
      <c r="U282" t="s">
        <v>18</v>
      </c>
      <c r="V282" t="s">
        <v>19</v>
      </c>
      <c r="W282">
        <v>599</v>
      </c>
      <c r="X282">
        <v>260</v>
      </c>
    </row>
    <row r="283" spans="1:24" x14ac:dyDescent="0.3">
      <c r="A283">
        <v>1114</v>
      </c>
      <c r="B283">
        <v>28</v>
      </c>
      <c r="C283" s="1">
        <v>45959</v>
      </c>
      <c r="D283" t="s">
        <v>41</v>
      </c>
      <c r="E283" t="s">
        <v>46</v>
      </c>
      <c r="F283">
        <v>5</v>
      </c>
      <c r="G283">
        <v>28</v>
      </c>
      <c r="H283" t="s">
        <v>115</v>
      </c>
      <c r="I283" t="s">
        <v>80</v>
      </c>
      <c r="J283" t="s">
        <v>81</v>
      </c>
      <c r="K283" t="s">
        <v>58</v>
      </c>
      <c r="L283" s="1">
        <v>45592</v>
      </c>
      <c r="M283">
        <v>282</v>
      </c>
      <c r="N283">
        <v>1114</v>
      </c>
      <c r="O283">
        <v>11</v>
      </c>
      <c r="P283">
        <v>1</v>
      </c>
      <c r="Q283">
        <v>1099</v>
      </c>
      <c r="R283">
        <v>0</v>
      </c>
      <c r="S283">
        <v>1099</v>
      </c>
      <c r="T283">
        <v>11</v>
      </c>
      <c r="U283" t="s">
        <v>20</v>
      </c>
      <c r="V283" t="s">
        <v>19</v>
      </c>
      <c r="W283">
        <v>1099</v>
      </c>
      <c r="X283">
        <v>570</v>
      </c>
    </row>
    <row r="284" spans="1:24" x14ac:dyDescent="0.3">
      <c r="A284">
        <v>1114</v>
      </c>
      <c r="B284">
        <v>28</v>
      </c>
      <c r="C284" s="1">
        <v>45959</v>
      </c>
      <c r="D284" t="s">
        <v>41</v>
      </c>
      <c r="E284" t="s">
        <v>46</v>
      </c>
      <c r="F284">
        <v>5</v>
      </c>
      <c r="G284">
        <v>28</v>
      </c>
      <c r="H284" t="s">
        <v>115</v>
      </c>
      <c r="I284" t="s">
        <v>80</v>
      </c>
      <c r="J284" t="s">
        <v>81</v>
      </c>
      <c r="K284" t="s">
        <v>58</v>
      </c>
      <c r="L284" s="1">
        <v>45592</v>
      </c>
      <c r="M284">
        <v>283</v>
      </c>
      <c r="N284">
        <v>1114</v>
      </c>
      <c r="O284">
        <v>8</v>
      </c>
      <c r="P284">
        <v>1</v>
      </c>
      <c r="Q284">
        <v>299</v>
      </c>
      <c r="R284">
        <v>0</v>
      </c>
      <c r="S284">
        <v>299</v>
      </c>
      <c r="T284">
        <v>8</v>
      </c>
      <c r="U284" t="s">
        <v>15</v>
      </c>
      <c r="V284" t="s">
        <v>16</v>
      </c>
      <c r="W284">
        <v>299</v>
      </c>
      <c r="X284">
        <v>110</v>
      </c>
    </row>
    <row r="285" spans="1:24" x14ac:dyDescent="0.3">
      <c r="A285">
        <v>1114</v>
      </c>
      <c r="B285">
        <v>28</v>
      </c>
      <c r="C285" s="1">
        <v>45959</v>
      </c>
      <c r="D285" t="s">
        <v>41</v>
      </c>
      <c r="E285" t="s">
        <v>46</v>
      </c>
      <c r="F285">
        <v>5</v>
      </c>
      <c r="G285">
        <v>28</v>
      </c>
      <c r="H285" t="s">
        <v>115</v>
      </c>
      <c r="I285" t="s">
        <v>80</v>
      </c>
      <c r="J285" t="s">
        <v>81</v>
      </c>
      <c r="K285" t="s">
        <v>58</v>
      </c>
      <c r="L285" s="1">
        <v>45592</v>
      </c>
      <c r="M285">
        <v>284</v>
      </c>
      <c r="N285">
        <v>1114</v>
      </c>
      <c r="O285">
        <v>19</v>
      </c>
      <c r="P285">
        <v>2</v>
      </c>
      <c r="Q285">
        <v>499</v>
      </c>
      <c r="R285">
        <v>0.05</v>
      </c>
      <c r="S285">
        <v>948</v>
      </c>
      <c r="T285">
        <v>19</v>
      </c>
      <c r="U285" t="s">
        <v>28</v>
      </c>
      <c r="V285" t="s">
        <v>11</v>
      </c>
      <c r="W285">
        <v>499</v>
      </c>
      <c r="X285">
        <v>220</v>
      </c>
    </row>
    <row r="286" spans="1:24" x14ac:dyDescent="0.3">
      <c r="A286">
        <v>1115</v>
      </c>
      <c r="B286">
        <v>23</v>
      </c>
      <c r="C286" s="1">
        <v>45988</v>
      </c>
      <c r="D286" t="s">
        <v>47</v>
      </c>
      <c r="E286" t="s">
        <v>42</v>
      </c>
      <c r="F286">
        <v>0</v>
      </c>
      <c r="G286">
        <v>23</v>
      </c>
      <c r="H286" t="s">
        <v>110</v>
      </c>
      <c r="I286" t="s">
        <v>64</v>
      </c>
      <c r="J286" t="s">
        <v>65</v>
      </c>
      <c r="K286" t="s">
        <v>62</v>
      </c>
      <c r="L286" s="1">
        <v>45543</v>
      </c>
      <c r="M286">
        <v>285</v>
      </c>
      <c r="N286">
        <v>1115</v>
      </c>
      <c r="O286">
        <v>4</v>
      </c>
      <c r="P286">
        <v>1</v>
      </c>
      <c r="Q286">
        <v>2199</v>
      </c>
      <c r="R286">
        <v>0</v>
      </c>
      <c r="S286">
        <v>2199</v>
      </c>
      <c r="T286">
        <v>4</v>
      </c>
      <c r="U286" t="s">
        <v>9</v>
      </c>
      <c r="V286" t="s">
        <v>6</v>
      </c>
      <c r="W286">
        <v>2199</v>
      </c>
      <c r="X286">
        <v>1250</v>
      </c>
    </row>
    <row r="287" spans="1:24" x14ac:dyDescent="0.3">
      <c r="A287">
        <v>1115</v>
      </c>
      <c r="B287">
        <v>23</v>
      </c>
      <c r="C287" s="1">
        <v>45988</v>
      </c>
      <c r="D287" t="s">
        <v>47</v>
      </c>
      <c r="E287" t="s">
        <v>42</v>
      </c>
      <c r="F287">
        <v>0</v>
      </c>
      <c r="G287">
        <v>23</v>
      </c>
      <c r="H287" t="s">
        <v>110</v>
      </c>
      <c r="I287" t="s">
        <v>64</v>
      </c>
      <c r="J287" t="s">
        <v>65</v>
      </c>
      <c r="K287" t="s">
        <v>62</v>
      </c>
      <c r="L287" s="1">
        <v>45543</v>
      </c>
      <c r="M287">
        <v>286</v>
      </c>
      <c r="N287">
        <v>1115</v>
      </c>
      <c r="O287">
        <v>5</v>
      </c>
      <c r="P287">
        <v>1</v>
      </c>
      <c r="Q287">
        <v>1299</v>
      </c>
      <c r="R287">
        <v>0.2</v>
      </c>
      <c r="S287">
        <v>1039</v>
      </c>
      <c r="T287">
        <v>5</v>
      </c>
      <c r="U287" t="s">
        <v>10</v>
      </c>
      <c r="V287" t="s">
        <v>11</v>
      </c>
      <c r="W287">
        <v>1299</v>
      </c>
      <c r="X287">
        <v>650</v>
      </c>
    </row>
    <row r="288" spans="1:24" x14ac:dyDescent="0.3">
      <c r="A288">
        <v>1116</v>
      </c>
      <c r="B288">
        <v>5</v>
      </c>
      <c r="C288" s="1">
        <v>45748</v>
      </c>
      <c r="D288" t="s">
        <v>47</v>
      </c>
      <c r="E288" t="s">
        <v>49</v>
      </c>
      <c r="F288">
        <v>0</v>
      </c>
      <c r="G288">
        <v>5</v>
      </c>
      <c r="H288" t="s">
        <v>70</v>
      </c>
      <c r="I288" t="s">
        <v>71</v>
      </c>
      <c r="J288" t="s">
        <v>72</v>
      </c>
      <c r="K288" t="s">
        <v>62</v>
      </c>
      <c r="L288" s="1">
        <v>45208</v>
      </c>
      <c r="M288">
        <v>287</v>
      </c>
      <c r="N288">
        <v>1116</v>
      </c>
      <c r="O288">
        <v>19</v>
      </c>
      <c r="P288">
        <v>2</v>
      </c>
      <c r="Q288">
        <v>499</v>
      </c>
      <c r="R288">
        <v>0.2</v>
      </c>
      <c r="S288">
        <v>798</v>
      </c>
      <c r="T288">
        <v>19</v>
      </c>
      <c r="U288" t="s">
        <v>28</v>
      </c>
      <c r="V288" t="s">
        <v>11</v>
      </c>
      <c r="W288">
        <v>499</v>
      </c>
      <c r="X288">
        <v>220</v>
      </c>
    </row>
    <row r="289" spans="1:24" x14ac:dyDescent="0.3">
      <c r="A289">
        <v>1116</v>
      </c>
      <c r="B289">
        <v>5</v>
      </c>
      <c r="C289" s="1">
        <v>45748</v>
      </c>
      <c r="D289" t="s">
        <v>47</v>
      </c>
      <c r="E289" t="s">
        <v>49</v>
      </c>
      <c r="F289">
        <v>0</v>
      </c>
      <c r="G289">
        <v>5</v>
      </c>
      <c r="H289" t="s">
        <v>70</v>
      </c>
      <c r="I289" t="s">
        <v>71</v>
      </c>
      <c r="J289" t="s">
        <v>72</v>
      </c>
      <c r="K289" t="s">
        <v>62</v>
      </c>
      <c r="L289" s="1">
        <v>45208</v>
      </c>
      <c r="M289">
        <v>288</v>
      </c>
      <c r="N289">
        <v>1116</v>
      </c>
      <c r="O289">
        <v>20</v>
      </c>
      <c r="P289">
        <v>1</v>
      </c>
      <c r="Q289">
        <v>449</v>
      </c>
      <c r="R289">
        <v>0.1</v>
      </c>
      <c r="S289">
        <v>404</v>
      </c>
      <c r="T289">
        <v>20</v>
      </c>
      <c r="U289" t="s">
        <v>29</v>
      </c>
      <c r="V289" t="s">
        <v>16</v>
      </c>
      <c r="W289">
        <v>449</v>
      </c>
      <c r="X289">
        <v>180</v>
      </c>
    </row>
    <row r="290" spans="1:24" x14ac:dyDescent="0.3">
      <c r="A290">
        <v>1116</v>
      </c>
      <c r="B290">
        <v>5</v>
      </c>
      <c r="C290" s="1">
        <v>45748</v>
      </c>
      <c r="D290" t="s">
        <v>47</v>
      </c>
      <c r="E290" t="s">
        <v>49</v>
      </c>
      <c r="F290">
        <v>0</v>
      </c>
      <c r="G290">
        <v>5</v>
      </c>
      <c r="H290" t="s">
        <v>70</v>
      </c>
      <c r="I290" t="s">
        <v>71</v>
      </c>
      <c r="J290" t="s">
        <v>72</v>
      </c>
      <c r="K290" t="s">
        <v>62</v>
      </c>
      <c r="L290" s="1">
        <v>45208</v>
      </c>
      <c r="M290">
        <v>289</v>
      </c>
      <c r="N290">
        <v>1116</v>
      </c>
      <c r="O290">
        <v>15</v>
      </c>
      <c r="P290">
        <v>1</v>
      </c>
      <c r="Q290">
        <v>349</v>
      </c>
      <c r="R290">
        <v>0.1</v>
      </c>
      <c r="S290">
        <v>314</v>
      </c>
      <c r="T290">
        <v>15</v>
      </c>
      <c r="U290" t="s">
        <v>24</v>
      </c>
      <c r="V290" t="s">
        <v>11</v>
      </c>
      <c r="W290">
        <v>349</v>
      </c>
      <c r="X290">
        <v>120</v>
      </c>
    </row>
    <row r="291" spans="1:24" x14ac:dyDescent="0.3">
      <c r="A291">
        <v>1116</v>
      </c>
      <c r="B291">
        <v>5</v>
      </c>
      <c r="C291" s="1">
        <v>45748</v>
      </c>
      <c r="D291" t="s">
        <v>47</v>
      </c>
      <c r="E291" t="s">
        <v>49</v>
      </c>
      <c r="F291">
        <v>0</v>
      </c>
      <c r="G291">
        <v>5</v>
      </c>
      <c r="H291" t="s">
        <v>70</v>
      </c>
      <c r="I291" t="s">
        <v>71</v>
      </c>
      <c r="J291" t="s">
        <v>72</v>
      </c>
      <c r="K291" t="s">
        <v>62</v>
      </c>
      <c r="L291" s="1">
        <v>45208</v>
      </c>
      <c r="M291">
        <v>290</v>
      </c>
      <c r="N291">
        <v>1116</v>
      </c>
      <c r="O291">
        <v>11</v>
      </c>
      <c r="P291">
        <v>1</v>
      </c>
      <c r="Q291">
        <v>1099</v>
      </c>
      <c r="R291">
        <v>0.05</v>
      </c>
      <c r="S291">
        <v>1044</v>
      </c>
      <c r="T291">
        <v>11</v>
      </c>
      <c r="U291" t="s">
        <v>20</v>
      </c>
      <c r="V291" t="s">
        <v>19</v>
      </c>
      <c r="W291">
        <v>1099</v>
      </c>
      <c r="X291">
        <v>570</v>
      </c>
    </row>
    <row r="292" spans="1:24" x14ac:dyDescent="0.3">
      <c r="A292">
        <v>1117</v>
      </c>
      <c r="B292">
        <v>38</v>
      </c>
      <c r="C292" s="1">
        <v>45686</v>
      </c>
      <c r="D292" t="s">
        <v>41</v>
      </c>
      <c r="E292" t="s">
        <v>46</v>
      </c>
      <c r="F292">
        <v>5</v>
      </c>
      <c r="G292">
        <v>38</v>
      </c>
      <c r="H292" t="s">
        <v>125</v>
      </c>
      <c r="I292" t="s">
        <v>103</v>
      </c>
      <c r="J292" t="s">
        <v>81</v>
      </c>
      <c r="K292" t="s">
        <v>62</v>
      </c>
      <c r="L292" s="1">
        <v>45704</v>
      </c>
      <c r="M292">
        <v>291</v>
      </c>
      <c r="N292">
        <v>1117</v>
      </c>
      <c r="O292">
        <v>15</v>
      </c>
      <c r="P292">
        <v>1</v>
      </c>
      <c r="Q292">
        <v>349</v>
      </c>
      <c r="R292">
        <v>0.05</v>
      </c>
      <c r="S292">
        <v>332</v>
      </c>
      <c r="T292">
        <v>15</v>
      </c>
      <c r="U292" t="s">
        <v>24</v>
      </c>
      <c r="V292" t="s">
        <v>11</v>
      </c>
      <c r="W292">
        <v>349</v>
      </c>
      <c r="X292">
        <v>120</v>
      </c>
    </row>
    <row r="293" spans="1:24" x14ac:dyDescent="0.3">
      <c r="A293">
        <v>1117</v>
      </c>
      <c r="B293">
        <v>38</v>
      </c>
      <c r="C293" s="1">
        <v>45686</v>
      </c>
      <c r="D293" t="s">
        <v>41</v>
      </c>
      <c r="E293" t="s">
        <v>46</v>
      </c>
      <c r="F293">
        <v>5</v>
      </c>
      <c r="G293">
        <v>38</v>
      </c>
      <c r="H293" t="s">
        <v>125</v>
      </c>
      <c r="I293" t="s">
        <v>103</v>
      </c>
      <c r="J293" t="s">
        <v>81</v>
      </c>
      <c r="K293" t="s">
        <v>62</v>
      </c>
      <c r="L293" s="1">
        <v>45704</v>
      </c>
      <c r="M293">
        <v>292</v>
      </c>
      <c r="N293">
        <v>1117</v>
      </c>
      <c r="O293">
        <v>20</v>
      </c>
      <c r="P293">
        <v>1</v>
      </c>
      <c r="Q293">
        <v>449</v>
      </c>
      <c r="R293">
        <v>0</v>
      </c>
      <c r="S293">
        <v>449</v>
      </c>
      <c r="T293">
        <v>20</v>
      </c>
      <c r="U293" t="s">
        <v>29</v>
      </c>
      <c r="V293" t="s">
        <v>16</v>
      </c>
      <c r="W293">
        <v>449</v>
      </c>
      <c r="X293">
        <v>180</v>
      </c>
    </row>
    <row r="294" spans="1:24" x14ac:dyDescent="0.3">
      <c r="A294">
        <v>1117</v>
      </c>
      <c r="B294">
        <v>38</v>
      </c>
      <c r="C294" s="1">
        <v>45686</v>
      </c>
      <c r="D294" t="s">
        <v>41</v>
      </c>
      <c r="E294" t="s">
        <v>46</v>
      </c>
      <c r="F294">
        <v>5</v>
      </c>
      <c r="G294">
        <v>38</v>
      </c>
      <c r="H294" t="s">
        <v>125</v>
      </c>
      <c r="I294" t="s">
        <v>103</v>
      </c>
      <c r="J294" t="s">
        <v>81</v>
      </c>
      <c r="K294" t="s">
        <v>62</v>
      </c>
      <c r="L294" s="1">
        <v>45704</v>
      </c>
      <c r="M294">
        <v>293</v>
      </c>
      <c r="N294">
        <v>1117</v>
      </c>
      <c r="O294">
        <v>2</v>
      </c>
      <c r="P294">
        <v>1</v>
      </c>
      <c r="Q294">
        <v>2499</v>
      </c>
      <c r="R294">
        <v>0.15</v>
      </c>
      <c r="S294">
        <v>2124</v>
      </c>
      <c r="T294">
        <v>2</v>
      </c>
      <c r="U294" t="s">
        <v>7</v>
      </c>
      <c r="V294" t="s">
        <v>6</v>
      </c>
      <c r="W294">
        <v>2499</v>
      </c>
      <c r="X294">
        <v>1500</v>
      </c>
    </row>
    <row r="295" spans="1:24" x14ac:dyDescent="0.3">
      <c r="A295">
        <v>1118</v>
      </c>
      <c r="B295">
        <v>25</v>
      </c>
      <c r="C295" s="1">
        <v>45894</v>
      </c>
      <c r="D295" t="s">
        <v>48</v>
      </c>
      <c r="E295" t="s">
        <v>45</v>
      </c>
      <c r="F295">
        <v>0</v>
      </c>
      <c r="G295">
        <v>25</v>
      </c>
      <c r="H295" t="s">
        <v>112</v>
      </c>
      <c r="I295" t="s">
        <v>71</v>
      </c>
      <c r="J295" t="s">
        <v>72</v>
      </c>
      <c r="K295" t="s">
        <v>58</v>
      </c>
      <c r="L295" s="1">
        <v>45501</v>
      </c>
      <c r="M295">
        <v>294</v>
      </c>
      <c r="N295">
        <v>1118</v>
      </c>
      <c r="O295">
        <v>15</v>
      </c>
      <c r="P295">
        <v>2</v>
      </c>
      <c r="Q295">
        <v>349</v>
      </c>
      <c r="R295">
        <v>0.15</v>
      </c>
      <c r="S295">
        <v>593</v>
      </c>
      <c r="T295">
        <v>15</v>
      </c>
      <c r="U295" t="s">
        <v>24</v>
      </c>
      <c r="V295" t="s">
        <v>11</v>
      </c>
      <c r="W295">
        <v>349</v>
      </c>
      <c r="X295">
        <v>120</v>
      </c>
    </row>
    <row r="296" spans="1:24" x14ac:dyDescent="0.3">
      <c r="A296">
        <v>1119</v>
      </c>
      <c r="B296">
        <v>13</v>
      </c>
      <c r="C296" s="1">
        <v>45822</v>
      </c>
      <c r="D296" t="s">
        <v>48</v>
      </c>
      <c r="E296" t="s">
        <v>49</v>
      </c>
      <c r="F296">
        <v>0</v>
      </c>
      <c r="G296">
        <v>13</v>
      </c>
      <c r="H296" t="s">
        <v>92</v>
      </c>
      <c r="I296" t="s">
        <v>93</v>
      </c>
      <c r="J296" t="s">
        <v>65</v>
      </c>
      <c r="K296" t="s">
        <v>58</v>
      </c>
      <c r="L296" s="1">
        <v>45485</v>
      </c>
      <c r="M296">
        <v>295</v>
      </c>
      <c r="N296">
        <v>1119</v>
      </c>
      <c r="O296">
        <v>2</v>
      </c>
      <c r="P296">
        <v>1</v>
      </c>
      <c r="Q296">
        <v>2499</v>
      </c>
      <c r="R296">
        <v>0.05</v>
      </c>
      <c r="S296">
        <v>2374</v>
      </c>
      <c r="T296">
        <v>2</v>
      </c>
      <c r="U296" t="s">
        <v>7</v>
      </c>
      <c r="V296" t="s">
        <v>6</v>
      </c>
      <c r="W296">
        <v>2499</v>
      </c>
      <c r="X296">
        <v>1500</v>
      </c>
    </row>
    <row r="297" spans="1:24" x14ac:dyDescent="0.3">
      <c r="A297">
        <v>1119</v>
      </c>
      <c r="B297">
        <v>13</v>
      </c>
      <c r="C297" s="1">
        <v>45822</v>
      </c>
      <c r="D297" t="s">
        <v>48</v>
      </c>
      <c r="E297" t="s">
        <v>49</v>
      </c>
      <c r="F297">
        <v>0</v>
      </c>
      <c r="G297">
        <v>13</v>
      </c>
      <c r="H297" t="s">
        <v>92</v>
      </c>
      <c r="I297" t="s">
        <v>93</v>
      </c>
      <c r="J297" t="s">
        <v>65</v>
      </c>
      <c r="K297" t="s">
        <v>58</v>
      </c>
      <c r="L297" s="1">
        <v>45485</v>
      </c>
      <c r="M297">
        <v>296</v>
      </c>
      <c r="N297">
        <v>1119</v>
      </c>
      <c r="O297">
        <v>15</v>
      </c>
      <c r="P297">
        <v>3</v>
      </c>
      <c r="Q297">
        <v>349</v>
      </c>
      <c r="R297">
        <v>0</v>
      </c>
      <c r="S297">
        <v>1047</v>
      </c>
      <c r="T297">
        <v>15</v>
      </c>
      <c r="U297" t="s">
        <v>24</v>
      </c>
      <c r="V297" t="s">
        <v>11</v>
      </c>
      <c r="W297">
        <v>349</v>
      </c>
      <c r="X297">
        <v>120</v>
      </c>
    </row>
    <row r="298" spans="1:24" x14ac:dyDescent="0.3">
      <c r="A298">
        <v>1120</v>
      </c>
      <c r="B298">
        <v>33</v>
      </c>
      <c r="C298" s="1">
        <v>45988</v>
      </c>
      <c r="D298" t="s">
        <v>41</v>
      </c>
      <c r="E298" t="s">
        <v>42</v>
      </c>
      <c r="F298">
        <v>1</v>
      </c>
      <c r="G298">
        <v>33</v>
      </c>
      <c r="H298" t="s">
        <v>120</v>
      </c>
      <c r="I298" t="s">
        <v>93</v>
      </c>
      <c r="J298" t="s">
        <v>65</v>
      </c>
      <c r="K298" t="s">
        <v>66</v>
      </c>
      <c r="L298" s="1">
        <v>45386</v>
      </c>
      <c r="M298">
        <v>297</v>
      </c>
      <c r="N298">
        <v>1120</v>
      </c>
      <c r="O298">
        <v>15</v>
      </c>
      <c r="P298">
        <v>1</v>
      </c>
      <c r="Q298">
        <v>349</v>
      </c>
      <c r="R298">
        <v>0.05</v>
      </c>
      <c r="S298">
        <v>332</v>
      </c>
      <c r="T298">
        <v>15</v>
      </c>
      <c r="U298" t="s">
        <v>24</v>
      </c>
      <c r="V298" t="s">
        <v>11</v>
      </c>
      <c r="W298">
        <v>349</v>
      </c>
      <c r="X298">
        <v>120</v>
      </c>
    </row>
    <row r="299" spans="1:24" x14ac:dyDescent="0.3">
      <c r="A299">
        <v>1120</v>
      </c>
      <c r="B299">
        <v>33</v>
      </c>
      <c r="C299" s="1">
        <v>45988</v>
      </c>
      <c r="D299" t="s">
        <v>41</v>
      </c>
      <c r="E299" t="s">
        <v>42</v>
      </c>
      <c r="F299">
        <v>1</v>
      </c>
      <c r="G299">
        <v>33</v>
      </c>
      <c r="H299" t="s">
        <v>120</v>
      </c>
      <c r="I299" t="s">
        <v>93</v>
      </c>
      <c r="J299" t="s">
        <v>65</v>
      </c>
      <c r="K299" t="s">
        <v>66</v>
      </c>
      <c r="L299" s="1">
        <v>45386</v>
      </c>
      <c r="M299">
        <v>298</v>
      </c>
      <c r="N299">
        <v>1120</v>
      </c>
      <c r="O299">
        <v>17</v>
      </c>
      <c r="P299">
        <v>1</v>
      </c>
      <c r="Q299">
        <v>8499</v>
      </c>
      <c r="R299">
        <v>0.05</v>
      </c>
      <c r="S299">
        <v>8074</v>
      </c>
      <c r="T299">
        <v>17</v>
      </c>
      <c r="U299" t="s">
        <v>26</v>
      </c>
      <c r="V299" t="s">
        <v>14</v>
      </c>
      <c r="W299">
        <v>8499</v>
      </c>
      <c r="X299">
        <v>6100</v>
      </c>
    </row>
    <row r="300" spans="1:24" x14ac:dyDescent="0.3">
      <c r="A300">
        <v>1120</v>
      </c>
      <c r="B300">
        <v>33</v>
      </c>
      <c r="C300" s="1">
        <v>45988</v>
      </c>
      <c r="D300" t="s">
        <v>41</v>
      </c>
      <c r="E300" t="s">
        <v>42</v>
      </c>
      <c r="F300">
        <v>1</v>
      </c>
      <c r="G300">
        <v>33</v>
      </c>
      <c r="H300" t="s">
        <v>120</v>
      </c>
      <c r="I300" t="s">
        <v>93</v>
      </c>
      <c r="J300" t="s">
        <v>65</v>
      </c>
      <c r="K300" t="s">
        <v>66</v>
      </c>
      <c r="L300" s="1">
        <v>45386</v>
      </c>
      <c r="M300">
        <v>299</v>
      </c>
      <c r="N300">
        <v>1120</v>
      </c>
      <c r="O300">
        <v>19</v>
      </c>
      <c r="P300">
        <v>2</v>
      </c>
      <c r="Q300">
        <v>499</v>
      </c>
      <c r="R300">
        <v>0</v>
      </c>
      <c r="S300">
        <v>998</v>
      </c>
      <c r="T300">
        <v>19</v>
      </c>
      <c r="U300" t="s">
        <v>28</v>
      </c>
      <c r="V300" t="s">
        <v>11</v>
      </c>
      <c r="W300">
        <v>499</v>
      </c>
      <c r="X300">
        <v>220</v>
      </c>
    </row>
    <row r="301" spans="1:24" x14ac:dyDescent="0.3">
      <c r="A301">
        <v>1120</v>
      </c>
      <c r="B301">
        <v>33</v>
      </c>
      <c r="C301" s="1">
        <v>45988</v>
      </c>
      <c r="D301" t="s">
        <v>41</v>
      </c>
      <c r="E301" t="s">
        <v>42</v>
      </c>
      <c r="F301">
        <v>1</v>
      </c>
      <c r="G301">
        <v>33</v>
      </c>
      <c r="H301" t="s">
        <v>120</v>
      </c>
      <c r="I301" t="s">
        <v>93</v>
      </c>
      <c r="J301" t="s">
        <v>65</v>
      </c>
      <c r="K301" t="s">
        <v>66</v>
      </c>
      <c r="L301" s="1">
        <v>45386</v>
      </c>
      <c r="M301">
        <v>300</v>
      </c>
      <c r="N301">
        <v>1120</v>
      </c>
      <c r="O301">
        <v>6</v>
      </c>
      <c r="P301">
        <v>2</v>
      </c>
      <c r="Q301">
        <v>1899</v>
      </c>
      <c r="R301">
        <v>0.2</v>
      </c>
      <c r="S301">
        <v>3038</v>
      </c>
      <c r="T301">
        <v>6</v>
      </c>
      <c r="U301" t="s">
        <v>12</v>
      </c>
      <c r="V301" t="s">
        <v>11</v>
      </c>
      <c r="W301">
        <v>1899</v>
      </c>
      <c r="X301">
        <v>950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219DA-0F46-4E94-845B-C6DADA143F86}">
  <dimension ref="A1:F41"/>
  <sheetViews>
    <sheetView workbookViewId="0">
      <selection sqref="A1:F41"/>
    </sheetView>
  </sheetViews>
  <sheetFormatPr defaultRowHeight="14.4" x14ac:dyDescent="0.3"/>
  <cols>
    <col min="1" max="1" width="13.6640625" bestFit="1" customWidth="1"/>
    <col min="2" max="2" width="12.21875" bestFit="1" customWidth="1"/>
    <col min="3" max="3" width="11.88671875" bestFit="1" customWidth="1"/>
    <col min="4" max="4" width="13.5546875" bestFit="1" customWidth="1"/>
    <col min="5" max="5" width="19.5546875" bestFit="1" customWidth="1"/>
    <col min="6" max="6" width="15.44140625" bestFit="1" customWidth="1"/>
  </cols>
  <sheetData>
    <row r="1" spans="1:6" x14ac:dyDescent="0.3">
      <c r="A1" t="s">
        <v>36</v>
      </c>
      <c r="B1" t="s">
        <v>50</v>
      </c>
      <c r="C1" t="s">
        <v>51</v>
      </c>
      <c r="D1" t="s">
        <v>52</v>
      </c>
      <c r="E1" t="s">
        <v>53</v>
      </c>
      <c r="F1" t="s">
        <v>54</v>
      </c>
    </row>
    <row r="2" spans="1:6" x14ac:dyDescent="0.3">
      <c r="A2">
        <v>1</v>
      </c>
      <c r="B2" t="s">
        <v>55</v>
      </c>
      <c r="C2" t="s">
        <v>56</v>
      </c>
      <c r="D2" t="s">
        <v>57</v>
      </c>
      <c r="E2" t="s">
        <v>58</v>
      </c>
      <c r="F2" s="2">
        <v>45581</v>
      </c>
    </row>
    <row r="3" spans="1:6" x14ac:dyDescent="0.3">
      <c r="A3">
        <v>2</v>
      </c>
      <c r="B3" t="s">
        <v>59</v>
      </c>
      <c r="C3" t="s">
        <v>60</v>
      </c>
      <c r="D3" t="s">
        <v>61</v>
      </c>
      <c r="E3" t="s">
        <v>62</v>
      </c>
      <c r="F3" s="2">
        <v>45041</v>
      </c>
    </row>
    <row r="4" spans="1:6" x14ac:dyDescent="0.3">
      <c r="A4">
        <v>3</v>
      </c>
      <c r="B4" t="s">
        <v>63</v>
      </c>
      <c r="C4" t="s">
        <v>64</v>
      </c>
      <c r="D4" t="s">
        <v>65</v>
      </c>
      <c r="E4" t="s">
        <v>66</v>
      </c>
      <c r="F4" s="2">
        <v>44952</v>
      </c>
    </row>
    <row r="5" spans="1:6" x14ac:dyDescent="0.3">
      <c r="A5">
        <v>4</v>
      </c>
      <c r="B5" t="s">
        <v>67</v>
      </c>
      <c r="C5" t="s">
        <v>68</v>
      </c>
      <c r="D5" t="s">
        <v>69</v>
      </c>
      <c r="E5" t="s">
        <v>58</v>
      </c>
      <c r="F5" s="2">
        <v>45686</v>
      </c>
    </row>
    <row r="6" spans="1:6" x14ac:dyDescent="0.3">
      <c r="A6">
        <v>5</v>
      </c>
      <c r="B6" t="s">
        <v>70</v>
      </c>
      <c r="C6" t="s">
        <v>71</v>
      </c>
      <c r="D6" t="s">
        <v>72</v>
      </c>
      <c r="E6" t="s">
        <v>62</v>
      </c>
      <c r="F6" s="2">
        <v>45208</v>
      </c>
    </row>
    <row r="7" spans="1:6" x14ac:dyDescent="0.3">
      <c r="A7">
        <v>6</v>
      </c>
      <c r="B7" t="s">
        <v>73</v>
      </c>
      <c r="C7" t="s">
        <v>74</v>
      </c>
      <c r="D7" t="s">
        <v>75</v>
      </c>
      <c r="E7" t="s">
        <v>66</v>
      </c>
      <c r="F7" s="2">
        <v>45177</v>
      </c>
    </row>
    <row r="8" spans="1:6" x14ac:dyDescent="0.3">
      <c r="A8">
        <v>7</v>
      </c>
      <c r="B8" t="s">
        <v>76</v>
      </c>
      <c r="C8" t="s">
        <v>77</v>
      </c>
      <c r="D8" t="s">
        <v>78</v>
      </c>
      <c r="E8" t="s">
        <v>58</v>
      </c>
      <c r="F8" s="2">
        <v>45155</v>
      </c>
    </row>
    <row r="9" spans="1:6" x14ac:dyDescent="0.3">
      <c r="A9">
        <v>8</v>
      </c>
      <c r="B9" t="s">
        <v>79</v>
      </c>
      <c r="C9" t="s">
        <v>80</v>
      </c>
      <c r="D9" t="s">
        <v>81</v>
      </c>
      <c r="E9" t="s">
        <v>62</v>
      </c>
      <c r="F9" s="2">
        <v>45069</v>
      </c>
    </row>
    <row r="10" spans="1:6" x14ac:dyDescent="0.3">
      <c r="A10">
        <v>9</v>
      </c>
      <c r="B10" t="s">
        <v>82</v>
      </c>
      <c r="C10" t="s">
        <v>83</v>
      </c>
      <c r="D10" t="s">
        <v>84</v>
      </c>
      <c r="E10" t="s">
        <v>66</v>
      </c>
      <c r="F10" s="2">
        <v>45681</v>
      </c>
    </row>
    <row r="11" spans="1:6" x14ac:dyDescent="0.3">
      <c r="A11">
        <v>10</v>
      </c>
      <c r="B11" t="s">
        <v>85</v>
      </c>
      <c r="C11" t="s">
        <v>86</v>
      </c>
      <c r="D11" t="s">
        <v>87</v>
      </c>
      <c r="E11" t="s">
        <v>58</v>
      </c>
      <c r="F11" s="2">
        <v>45031</v>
      </c>
    </row>
    <row r="12" spans="1:6" x14ac:dyDescent="0.3">
      <c r="A12">
        <v>11</v>
      </c>
      <c r="B12" t="s">
        <v>88</v>
      </c>
      <c r="C12" t="s">
        <v>89</v>
      </c>
      <c r="D12" t="s">
        <v>57</v>
      </c>
      <c r="E12" t="s">
        <v>62</v>
      </c>
      <c r="F12" s="2">
        <v>45619</v>
      </c>
    </row>
    <row r="13" spans="1:6" x14ac:dyDescent="0.3">
      <c r="A13">
        <v>12</v>
      </c>
      <c r="B13" t="s">
        <v>90</v>
      </c>
      <c r="C13" t="s">
        <v>91</v>
      </c>
      <c r="D13" t="s">
        <v>61</v>
      </c>
      <c r="E13" t="s">
        <v>66</v>
      </c>
      <c r="F13" s="2">
        <v>45685</v>
      </c>
    </row>
    <row r="14" spans="1:6" x14ac:dyDescent="0.3">
      <c r="A14">
        <v>13</v>
      </c>
      <c r="B14" t="s">
        <v>92</v>
      </c>
      <c r="C14" t="s">
        <v>93</v>
      </c>
      <c r="D14" t="s">
        <v>65</v>
      </c>
      <c r="E14" t="s">
        <v>58</v>
      </c>
      <c r="F14" s="2">
        <v>45485</v>
      </c>
    </row>
    <row r="15" spans="1:6" x14ac:dyDescent="0.3">
      <c r="A15">
        <v>14</v>
      </c>
      <c r="B15" t="s">
        <v>94</v>
      </c>
      <c r="C15" t="s">
        <v>95</v>
      </c>
      <c r="D15" t="s">
        <v>69</v>
      </c>
      <c r="E15" t="s">
        <v>62</v>
      </c>
      <c r="F15" s="2">
        <v>45016</v>
      </c>
    </row>
    <row r="16" spans="1:6" x14ac:dyDescent="0.3">
      <c r="A16">
        <v>15</v>
      </c>
      <c r="B16" t="s">
        <v>96</v>
      </c>
      <c r="C16" t="s">
        <v>97</v>
      </c>
      <c r="D16" t="s">
        <v>72</v>
      </c>
      <c r="E16" t="s">
        <v>66</v>
      </c>
      <c r="F16" s="2">
        <v>45531</v>
      </c>
    </row>
    <row r="17" spans="1:6" x14ac:dyDescent="0.3">
      <c r="A17">
        <v>16</v>
      </c>
      <c r="B17" t="s">
        <v>98</v>
      </c>
      <c r="C17" t="s">
        <v>99</v>
      </c>
      <c r="D17" t="s">
        <v>75</v>
      </c>
      <c r="E17" t="s">
        <v>58</v>
      </c>
      <c r="F17" s="2">
        <v>45359</v>
      </c>
    </row>
    <row r="18" spans="1:6" x14ac:dyDescent="0.3">
      <c r="A18">
        <v>17</v>
      </c>
      <c r="B18" t="s">
        <v>100</v>
      </c>
      <c r="C18" t="s">
        <v>101</v>
      </c>
      <c r="D18" t="s">
        <v>78</v>
      </c>
      <c r="E18" t="s">
        <v>62</v>
      </c>
      <c r="F18" s="2">
        <v>44959</v>
      </c>
    </row>
    <row r="19" spans="1:6" x14ac:dyDescent="0.3">
      <c r="A19">
        <v>18</v>
      </c>
      <c r="B19" t="s">
        <v>102</v>
      </c>
      <c r="C19" t="s">
        <v>103</v>
      </c>
      <c r="D19" t="s">
        <v>81</v>
      </c>
      <c r="E19" t="s">
        <v>66</v>
      </c>
      <c r="F19" s="2">
        <v>44957</v>
      </c>
    </row>
    <row r="20" spans="1:6" x14ac:dyDescent="0.3">
      <c r="A20">
        <v>19</v>
      </c>
      <c r="B20" t="s">
        <v>104</v>
      </c>
      <c r="C20" t="s">
        <v>105</v>
      </c>
      <c r="D20" t="s">
        <v>84</v>
      </c>
      <c r="E20" t="s">
        <v>58</v>
      </c>
      <c r="F20" s="2">
        <v>45022</v>
      </c>
    </row>
    <row r="21" spans="1:6" x14ac:dyDescent="0.3">
      <c r="A21">
        <v>20</v>
      </c>
      <c r="B21" t="s">
        <v>106</v>
      </c>
      <c r="C21" t="s">
        <v>107</v>
      </c>
      <c r="D21" t="s">
        <v>87</v>
      </c>
      <c r="E21" t="s">
        <v>62</v>
      </c>
      <c r="F21" s="2">
        <v>45150</v>
      </c>
    </row>
    <row r="22" spans="1:6" x14ac:dyDescent="0.3">
      <c r="A22">
        <v>21</v>
      </c>
      <c r="B22" t="s">
        <v>108</v>
      </c>
      <c r="C22" t="s">
        <v>56</v>
      </c>
      <c r="D22" t="s">
        <v>57</v>
      </c>
      <c r="E22" t="s">
        <v>66</v>
      </c>
      <c r="F22" s="2">
        <v>45165</v>
      </c>
    </row>
    <row r="23" spans="1:6" x14ac:dyDescent="0.3">
      <c r="A23">
        <v>22</v>
      </c>
      <c r="B23" t="s">
        <v>109</v>
      </c>
      <c r="C23" t="s">
        <v>60</v>
      </c>
      <c r="D23" t="s">
        <v>61</v>
      </c>
      <c r="E23" t="s">
        <v>58</v>
      </c>
      <c r="F23" s="2">
        <v>45444</v>
      </c>
    </row>
    <row r="24" spans="1:6" x14ac:dyDescent="0.3">
      <c r="A24">
        <v>23</v>
      </c>
      <c r="B24" t="s">
        <v>110</v>
      </c>
      <c r="C24" t="s">
        <v>64</v>
      </c>
      <c r="D24" t="s">
        <v>65</v>
      </c>
      <c r="E24" t="s">
        <v>62</v>
      </c>
      <c r="F24" s="2">
        <v>45543</v>
      </c>
    </row>
    <row r="25" spans="1:6" x14ac:dyDescent="0.3">
      <c r="A25">
        <v>24</v>
      </c>
      <c r="B25" t="s">
        <v>111</v>
      </c>
      <c r="C25" t="s">
        <v>68</v>
      </c>
      <c r="D25" t="s">
        <v>69</v>
      </c>
      <c r="E25" t="s">
        <v>66</v>
      </c>
      <c r="F25" s="2">
        <v>44954</v>
      </c>
    </row>
    <row r="26" spans="1:6" x14ac:dyDescent="0.3">
      <c r="A26">
        <v>25</v>
      </c>
      <c r="B26" t="s">
        <v>112</v>
      </c>
      <c r="C26" t="s">
        <v>71</v>
      </c>
      <c r="D26" t="s">
        <v>72</v>
      </c>
      <c r="E26" t="s">
        <v>58</v>
      </c>
      <c r="F26" s="2">
        <v>45501</v>
      </c>
    </row>
    <row r="27" spans="1:6" x14ac:dyDescent="0.3">
      <c r="A27">
        <v>26</v>
      </c>
      <c r="B27" t="s">
        <v>113</v>
      </c>
      <c r="C27" t="s">
        <v>74</v>
      </c>
      <c r="D27" t="s">
        <v>75</v>
      </c>
      <c r="E27" t="s">
        <v>62</v>
      </c>
      <c r="F27" s="2">
        <v>45130</v>
      </c>
    </row>
    <row r="28" spans="1:6" x14ac:dyDescent="0.3">
      <c r="A28">
        <v>27</v>
      </c>
      <c r="B28" t="s">
        <v>114</v>
      </c>
      <c r="C28" t="s">
        <v>77</v>
      </c>
      <c r="D28" t="s">
        <v>78</v>
      </c>
      <c r="E28" t="s">
        <v>66</v>
      </c>
      <c r="F28" s="2">
        <v>45660</v>
      </c>
    </row>
    <row r="29" spans="1:6" x14ac:dyDescent="0.3">
      <c r="A29">
        <v>28</v>
      </c>
      <c r="B29" t="s">
        <v>115</v>
      </c>
      <c r="C29" t="s">
        <v>80</v>
      </c>
      <c r="D29" t="s">
        <v>81</v>
      </c>
      <c r="E29" t="s">
        <v>58</v>
      </c>
      <c r="F29" s="2">
        <v>45592</v>
      </c>
    </row>
    <row r="30" spans="1:6" x14ac:dyDescent="0.3">
      <c r="A30">
        <v>29</v>
      </c>
      <c r="B30" t="s">
        <v>116</v>
      </c>
      <c r="C30" t="s">
        <v>83</v>
      </c>
      <c r="D30" t="s">
        <v>84</v>
      </c>
      <c r="E30" t="s">
        <v>62</v>
      </c>
      <c r="F30" s="2">
        <v>45645</v>
      </c>
    </row>
    <row r="31" spans="1:6" x14ac:dyDescent="0.3">
      <c r="A31">
        <v>30</v>
      </c>
      <c r="B31" t="s">
        <v>117</v>
      </c>
      <c r="C31" t="s">
        <v>86</v>
      </c>
      <c r="D31" t="s">
        <v>87</v>
      </c>
      <c r="E31" t="s">
        <v>66</v>
      </c>
      <c r="F31" s="2">
        <v>45485</v>
      </c>
    </row>
    <row r="32" spans="1:6" x14ac:dyDescent="0.3">
      <c r="A32">
        <v>31</v>
      </c>
      <c r="B32" t="s">
        <v>118</v>
      </c>
      <c r="C32" t="s">
        <v>89</v>
      </c>
      <c r="D32" t="s">
        <v>57</v>
      </c>
      <c r="E32" t="s">
        <v>58</v>
      </c>
      <c r="F32" s="2">
        <v>45356</v>
      </c>
    </row>
    <row r="33" spans="1:6" x14ac:dyDescent="0.3">
      <c r="A33">
        <v>32</v>
      </c>
      <c r="B33" t="s">
        <v>119</v>
      </c>
      <c r="C33" t="s">
        <v>91</v>
      </c>
      <c r="D33" t="s">
        <v>61</v>
      </c>
      <c r="E33" t="s">
        <v>62</v>
      </c>
      <c r="F33" s="2">
        <v>45152</v>
      </c>
    </row>
    <row r="34" spans="1:6" x14ac:dyDescent="0.3">
      <c r="A34">
        <v>33</v>
      </c>
      <c r="B34" t="s">
        <v>120</v>
      </c>
      <c r="C34" t="s">
        <v>93</v>
      </c>
      <c r="D34" t="s">
        <v>65</v>
      </c>
      <c r="E34" t="s">
        <v>66</v>
      </c>
      <c r="F34" s="2">
        <v>45386</v>
      </c>
    </row>
    <row r="35" spans="1:6" x14ac:dyDescent="0.3">
      <c r="A35">
        <v>34</v>
      </c>
      <c r="B35" t="s">
        <v>121</v>
      </c>
      <c r="C35" t="s">
        <v>95</v>
      </c>
      <c r="D35" t="s">
        <v>69</v>
      </c>
      <c r="E35" t="s">
        <v>58</v>
      </c>
      <c r="F35" s="2">
        <v>45530</v>
      </c>
    </row>
    <row r="36" spans="1:6" x14ac:dyDescent="0.3">
      <c r="A36">
        <v>35</v>
      </c>
      <c r="B36" t="s">
        <v>122</v>
      </c>
      <c r="C36" t="s">
        <v>97</v>
      </c>
      <c r="D36" t="s">
        <v>72</v>
      </c>
      <c r="E36" t="s">
        <v>62</v>
      </c>
      <c r="F36" s="2">
        <v>45211</v>
      </c>
    </row>
    <row r="37" spans="1:6" x14ac:dyDescent="0.3">
      <c r="A37">
        <v>36</v>
      </c>
      <c r="B37" t="s">
        <v>123</v>
      </c>
      <c r="C37" t="s">
        <v>99</v>
      </c>
      <c r="D37" t="s">
        <v>75</v>
      </c>
      <c r="E37" t="s">
        <v>66</v>
      </c>
      <c r="F37" s="2">
        <v>45755</v>
      </c>
    </row>
    <row r="38" spans="1:6" x14ac:dyDescent="0.3">
      <c r="A38">
        <v>37</v>
      </c>
      <c r="B38" t="s">
        <v>124</v>
      </c>
      <c r="C38" t="s">
        <v>101</v>
      </c>
      <c r="D38" t="s">
        <v>78</v>
      </c>
      <c r="E38" t="s">
        <v>58</v>
      </c>
      <c r="F38" s="2">
        <v>44933</v>
      </c>
    </row>
    <row r="39" spans="1:6" x14ac:dyDescent="0.3">
      <c r="A39">
        <v>38</v>
      </c>
      <c r="B39" t="s">
        <v>125</v>
      </c>
      <c r="C39" t="s">
        <v>103</v>
      </c>
      <c r="D39" t="s">
        <v>81</v>
      </c>
      <c r="E39" t="s">
        <v>62</v>
      </c>
      <c r="F39" s="2">
        <v>45704</v>
      </c>
    </row>
    <row r="40" spans="1:6" x14ac:dyDescent="0.3">
      <c r="A40">
        <v>39</v>
      </c>
      <c r="B40" t="s">
        <v>126</v>
      </c>
      <c r="C40" t="s">
        <v>105</v>
      </c>
      <c r="D40" t="s">
        <v>84</v>
      </c>
      <c r="E40" t="s">
        <v>66</v>
      </c>
      <c r="F40" s="2">
        <v>45752</v>
      </c>
    </row>
    <row r="41" spans="1:6" x14ac:dyDescent="0.3">
      <c r="A41">
        <v>40</v>
      </c>
      <c r="B41" t="s">
        <v>127</v>
      </c>
      <c r="C41" t="s">
        <v>107</v>
      </c>
      <c r="D41" t="s">
        <v>87</v>
      </c>
      <c r="E41" t="s">
        <v>58</v>
      </c>
      <c r="F41" s="2">
        <v>45090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F7C7F6-D94E-4FAD-B684-711BDB45DE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products</vt:lpstr>
      <vt:lpstr>order_items</vt:lpstr>
      <vt:lpstr>orders </vt:lpstr>
      <vt:lpstr>total_dataset</vt:lpstr>
      <vt:lpstr>Sheet3</vt:lpstr>
      <vt:lpstr>DASHBOARD</vt:lpstr>
      <vt:lpstr>PIVOT_TABLE</vt:lpstr>
      <vt:lpstr>total _dataset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Yerram Naidu</dc:creator>
  <cp:lastModifiedBy>Yerram Naidu</cp:lastModifiedBy>
  <dcterms:created xsi:type="dcterms:W3CDTF">2026-10-22T06:19:32Z</dcterms:created>
  <dcterms:modified xsi:type="dcterms:W3CDTF">2026-10-22T13:07:31Z</dcterms:modified>
</cp:coreProperties>
</file>